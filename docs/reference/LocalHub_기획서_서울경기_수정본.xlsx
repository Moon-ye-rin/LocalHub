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_사용안내" sheetId="1" state="visible" r:id="rId3"/>
    <sheet name="1_프롬프트가이드(참고)" sheetId="2" state="visible" r:id="rId4"/>
    <sheet name="2_요구사항분석(실습)" sheetId="3" state="visible" r:id="rId5"/>
    <sheet name="3_아이디어도출(실습)" sheetId="4" state="visible" r:id="rId6"/>
    <sheet name="4_MVP정의(실습)" sheetId="5" state="visible" r:id="rId7"/>
    <sheet name="5_WBS_간트차트(실습)" sheetId="6" state="visible" r:id="rId8"/>
    <sheet name="6_용어설명(참고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Noto Sans CJK SC"/>
            <family val="2"/>
          </rPr>
          <t xml:space="preserve">팀원 경험 반영 조정칸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구현 경험자가 있으면 실현가능성을 높이고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없으면 낮추세요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종합점수</t>
        </r>
        <r>
          <rPr>
            <sz val="10"/>
            <rFont val="Arial"/>
            <family val="2"/>
          </rPr>
          <t xml:space="preserve">(G</t>
        </r>
        <r>
          <rPr>
            <sz val="10"/>
            <rFont val="Noto Sans CJK SC"/>
            <family val="2"/>
          </rPr>
          <t xml:space="preserve">열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는 자동 계산됩니다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<sst xmlns="http://schemas.openxmlformats.org/spreadsheetml/2006/main" count="338" uniqueCount="284">
  <si>
    <r>
      <rPr>
        <b val="true"/>
        <sz val="18"/>
        <color rgb="FFFFFFFF"/>
        <rFont val="Arial"/>
        <family val="2"/>
        <charset val="1"/>
      </rPr>
      <t xml:space="preserve">LocalHub </t>
    </r>
    <r>
      <rPr>
        <b val="true"/>
        <sz val="18"/>
        <color rgb="FFFFFFFF"/>
        <rFont val="Noto Sans CJK SC"/>
        <family val="2"/>
      </rPr>
      <t xml:space="preserve">프로젝트 기획 완성 샘플 </t>
    </r>
    <r>
      <rPr>
        <b val="true"/>
        <sz val="18"/>
        <color rgb="FFFFFFFF"/>
        <rFont val="Arial"/>
        <family val="2"/>
        <charset val="1"/>
      </rPr>
      <t xml:space="preserve">(</t>
    </r>
    <r>
      <rPr>
        <b val="true"/>
        <sz val="18"/>
        <color rgb="FFFFFFFF"/>
        <rFont val="Noto Sans CJK SC"/>
        <family val="2"/>
      </rPr>
      <t xml:space="preserve">참고용</t>
    </r>
    <r>
      <rPr>
        <b val="true"/>
        <sz val="18"/>
        <color rgb="FFFFFFFF"/>
        <rFont val="Arial"/>
        <family val="2"/>
        <charset val="1"/>
      </rPr>
      <t xml:space="preserve">)</t>
    </r>
  </si>
  <si>
    <t xml:space="preserve">실습 목표</t>
  </si>
  <si>
    <t xml:space="preserve">기획→MVP→WBS/간트 전 과정 체험</t>
  </si>
  <si>
    <t xml:space="preserve">실습 소재</t>
  </si>
  <si>
    <t xml:space="preserve">공공데이터 기반 지역정보 커뮤니티 'LocalHub' 개발 의뢰 문서(RFP) 
- 고객사가 보내는 공식 개발 의뢰 문서, 실제 현업 양식과 동일</t>
  </si>
  <si>
    <t xml:space="preserve">사용 도구</t>
  </si>
  <si>
    <t xml:space="preserve">ChatGPT</t>
  </si>
  <si>
    <t xml:space="preserve">총 소요시간</t>
  </si>
  <si>
    <r>
      <rPr>
        <sz val="10"/>
        <color rgb="FF222222"/>
        <rFont val="Arial"/>
        <family val="2"/>
        <charset val="1"/>
      </rPr>
      <t xml:space="preserve">3</t>
    </r>
    <r>
      <rPr>
        <sz val="10"/>
        <color rgb="FF222222"/>
        <rFont val="Noto Sans CJK SC"/>
        <family val="2"/>
      </rPr>
      <t xml:space="preserve">시간</t>
    </r>
  </si>
  <si>
    <t xml:space="preserve">탭 구성 및 진행 순서 
(탭 색상: 청록=완성 샘플 / 남색=참고만 하면 됨)</t>
  </si>
  <si>
    <r>
      <rPr>
        <b val="true"/>
        <sz val="10"/>
        <color rgb="FF222222"/>
        <rFont val="Arial"/>
        <family val="2"/>
        <charset val="1"/>
      </rPr>
      <t xml:space="preserve">1_</t>
    </r>
    <r>
      <rPr>
        <b val="true"/>
        <sz val="10"/>
        <color rgb="FF222222"/>
        <rFont val="Noto Sans CJK SC"/>
        <family val="2"/>
      </rPr>
      <t xml:space="preserve">프롬프트가이드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참고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</si>
  <si>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실습 전 먼저 읽기 
- 각 단계에서 ChatGPT에 그대로 복사해 넣을 프롬프트(AI에게 입력하는 질문/지시문) 모음</t>
  </si>
  <si>
    <r>
      <rPr>
        <b val="true"/>
        <sz val="10"/>
        <color rgb="FF222222"/>
        <rFont val="Arial"/>
        <family val="2"/>
        <charset val="1"/>
      </rPr>
      <t xml:space="preserve">2_</t>
    </r>
    <r>
      <rPr>
        <b val="true"/>
        <sz val="10"/>
        <color rgb="FF222222"/>
        <rFont val="Noto Sans CJK SC"/>
        <family val="2"/>
      </rPr>
      <t xml:space="preserve">요구사항분석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</si>
  <si>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개발 의뢰 문서(RFP)를 
Must(필수)/Should(중요)/Could(선택)/Won't(제외)+제약사항으로 분해한 완성 예시 (MoSCoW 방식)</t>
  </si>
  <si>
    <r>
      <rPr>
        <b val="true"/>
        <sz val="10"/>
        <color rgb="FF222222"/>
        <rFont val="Arial"/>
        <family val="2"/>
        <charset val="1"/>
      </rPr>
      <t xml:space="preserve">3_</t>
    </r>
    <r>
      <rPr>
        <b val="true"/>
        <sz val="10"/>
        <color rgb="FF222222"/>
        <rFont val="Noto Sans CJK SC"/>
        <family val="2"/>
      </rPr>
      <t xml:space="preserve">아이디어도출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</si>
  <si>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선택기능 8종을 실현가능성x임팩트로 평가해 선정까지 완료한 완성 예시</t>
  </si>
  <si>
    <r>
      <rPr>
        <b val="true"/>
        <sz val="10"/>
        <color rgb="FF222222"/>
        <rFont val="Arial"/>
        <family val="2"/>
        <charset val="1"/>
      </rPr>
      <t xml:space="preserve">4_MVP</t>
    </r>
    <r>
      <rPr>
        <b val="true"/>
        <sz val="10"/>
        <color rgb="FF222222"/>
        <rFont val="Noto Sans CJK SC"/>
        <family val="2"/>
      </rPr>
      <t xml:space="preserve">정의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</si>
  <si>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r>
      <rPr>
        <sz val="10"/>
        <color rgb="FF222222"/>
        <rFont val="Arial"/>
        <family val="2"/>
        <charset val="1"/>
      </rPr>
      <t xml:space="preserve">MVP(</t>
    </r>
    <r>
      <rPr>
        <sz val="10"/>
        <color rgb="FF222222"/>
        <rFont val="Noto Sans CJK SC"/>
        <family val="2"/>
      </rPr>
      <t xml:space="preserve">최소기능제품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 xml:space="preserve">범위</t>
    </r>
    <r>
      <rPr>
        <sz val="10"/>
        <color rgb="FF222222"/>
        <rFont val="Arial"/>
        <family val="2"/>
        <charset val="1"/>
      </rPr>
      <t xml:space="preserve">(</t>
    </r>
    <r>
      <rPr>
        <sz val="10"/>
        <color rgb="FF222222"/>
        <rFont val="Noto Sans CJK SC"/>
        <family val="2"/>
      </rPr>
      <t xml:space="preserve">할 것</t>
    </r>
    <r>
      <rPr>
        <sz val="10"/>
        <color rgb="FF222222"/>
        <rFont val="Arial"/>
        <family val="2"/>
        <charset val="1"/>
      </rPr>
      <t xml:space="preserve">/</t>
    </r>
    <r>
      <rPr>
        <sz val="10"/>
        <color rgb="FF222222"/>
        <rFont val="Noto Sans CJK SC"/>
        <family val="2"/>
      </rPr>
      <t xml:space="preserve">안 할 것</t>
    </r>
    <r>
      <rPr>
        <sz val="10"/>
        <color rgb="FF222222"/>
        <rFont val="Arial"/>
        <family val="2"/>
        <charset val="1"/>
      </rPr>
      <t xml:space="preserve">)</t>
    </r>
    <r>
      <rPr>
        <sz val="10"/>
        <color rgb="FF222222"/>
        <rFont val="Noto Sans CJK SC"/>
        <family val="2"/>
      </rPr>
      <t xml:space="preserve">를 확정한 완성 예시</t>
    </r>
  </si>
  <si>
    <r>
      <rPr>
        <b val="true"/>
        <sz val="10"/>
        <color rgb="FF222222"/>
        <rFont val="Arial"/>
        <family val="2"/>
        <charset val="1"/>
      </rPr>
      <t xml:space="preserve">5_WBS_</t>
    </r>
    <r>
      <rPr>
        <b val="true"/>
        <sz val="10"/>
        <color rgb="FF222222"/>
        <rFont val="Noto Sans CJK SC"/>
        <family val="2"/>
      </rPr>
      <t xml:space="preserve">간트차트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샘플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</si>
  <si>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확정된 MVP 기준 작업분해(WBS) 및 일정표(간트차트)를 완성한 예시</t>
  </si>
  <si>
    <r>
      <rPr>
        <b val="true"/>
        <sz val="10"/>
        <color rgb="FF222222"/>
        <rFont val="Arial"/>
        <family val="2"/>
        <charset val="1"/>
      </rPr>
      <t xml:space="preserve">6_</t>
    </r>
    <r>
      <rPr>
        <b val="true"/>
        <sz val="10"/>
        <color rgb="FF222222"/>
        <rFont val="Noto Sans CJK SC"/>
        <family val="2"/>
      </rPr>
      <t xml:space="preserve">용어설명</t>
    </r>
    <r>
      <rPr>
        <b val="true"/>
        <sz val="10"/>
        <color rgb="FF222222"/>
        <rFont val="Arial"/>
        <family val="2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참고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</si>
  <si>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낯선 용어가 나올 때마다 참고하는 용어 사전</t>
  </si>
  <si>
    <t xml:space="preserve">진행 시 유의사항 (냉철하게 확인할 것)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</si>
  <si>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 xml:space="preserve">결과는 초안일 뿐입니다</t>
    </r>
    <r>
      <rPr>
        <sz val="10"/>
        <color rgb="FF222222"/>
        <rFont val="Arial"/>
        <family val="2"/>
        <charset val="1"/>
      </rPr>
      <t xml:space="preserve">. 
</t>
    </r>
    <r>
      <rPr>
        <sz val="10"/>
        <color rgb="FF222222"/>
        <rFont val="Noto Sans CJK SC"/>
        <family val="2"/>
      </rPr>
      <t xml:space="preserve">개발 의뢰 문서</t>
    </r>
    <r>
      <rPr>
        <sz val="10"/>
        <color rgb="FF222222"/>
        <rFont val="Arial"/>
        <family val="2"/>
        <charset val="1"/>
      </rPr>
      <t xml:space="preserve">(RFP) </t>
    </r>
    <r>
      <rPr>
        <sz val="10"/>
        <color rgb="FF222222"/>
        <rFont val="Noto Sans CJK SC"/>
        <family val="2"/>
      </rPr>
      <t xml:space="preserve">원문과 대조해 빠지거나 틀린 항목이 없는지 반드시 팀이 재확인하세요</t>
    </r>
    <r>
      <rPr>
        <sz val="10"/>
        <color rgb="FF222222"/>
        <rFont val="Arial"/>
        <family val="2"/>
        <charset val="1"/>
      </rPr>
      <t xml:space="preserve">.</t>
    </r>
  </si>
  <si>
    <t xml:space="preserve">기술 스택·정책(개발도구 제한, 보안 정책 등)은 개발 의뢰 문서(RFP)에 명시된 값을 그대로 따르고 임의로 바꾸지 마세요.</t>
  </si>
  <si>
    <t xml:space="preserve">선택 기능을 고를 때는 '멋있어서'가 아니라 '납기 안에 끝낼 수 있는가'를 최우선 기준으로 판단하세요.</t>
  </si>
  <si>
    <t xml:space="preserve">프롬프트 가이드</t>
  </si>
  <si>
    <t xml:space="preserve">단계</t>
  </si>
  <si>
    <t xml:space="preserve">목적</t>
  </si>
  <si>
    <t xml:space="preserve">프롬프트 예시 (그대로 복사)</t>
  </si>
  <si>
    <t xml:space="preserve">기대 결과물</t>
  </si>
  <si>
    <t xml:space="preserve">TIP</t>
  </si>
  <si>
    <t xml:space="preserve">① 요구사항분석</t>
  </si>
  <si>
    <t xml:space="preserve">개발 의뢰 문서(RFP) 핵심요구 추출</t>
  </si>
  <si>
    <t xml:space="preserve">너는 20년차 PM이야. 아래는 고객사가 보낸 개발 의뢰 문서(RFP) 전문이야.
이 내용을 분석해서 표로 정리해줘. 열은 [구분(필수/선택/제약), 항목, 상세내용, 근거 조항, 검토 의견]으로 하고,
특히 '반드시', '금지', '절대' 같은 강조 표현이 들어간 조항은 제약사항으로 따로 분류해줘.
--- (여기에 개발 의뢰 문서(RFP) 같이 넣기) ---</t>
  </si>
  <si>
    <t xml:space="preserve">필수/선택/제약/검토 4분류 표</t>
  </si>
  <si>
    <t xml:space="preserve">개발 의뢰 문서(RFP) 원문을 요약하지 말고 통째로 붙여넣을 것. PDF는 파일 첨부도 가능.</t>
  </si>
  <si>
    <t xml:space="preserve">② 아이디어도출</t>
  </si>
  <si>
    <t xml:space="preserve">선택기능 브레인스토밍</t>
  </si>
  <si>
    <t xml:space="preserve">우리 팀은 개발기간 3일, 개발환경은 VSCode Copilot + OpenAI API만 허용, 팀원은 신입 개발자 위주야.
아래 선택기능 후보 N개 중에서 이 조건에 맞는 것을 추천하고 이유를 설명해줘:
각 항목마다 [구현난이도 1~5, 실현가능성(난이도가 낮을수록 높음)과 임팩트(사용자 체감 효과)]를 표로 만들어줘.
--- (선택 가능한 후보 표 붙여넣기) ---</t>
  </si>
  <si>
    <t xml:space="preserve">난이도/기간/적합도 비교표</t>
  </si>
  <si>
    <t xml:space="preserve">팀의 실제 제약조건(기간, 인원, 기술스택)을 프롬프트에 꼭 넣어야 현실적인 답이 나옴.</t>
  </si>
  <si>
    <r>
      <rPr>
        <b val="true"/>
        <sz val="10"/>
        <color rgb="FF222222"/>
        <rFont val="Arial"/>
        <family val="2"/>
        <charset val="1"/>
      </rPr>
      <t xml:space="preserve">③ MVP</t>
    </r>
    <r>
      <rPr>
        <b val="true"/>
        <sz val="10"/>
        <color rgb="FF222222"/>
        <rFont val="Noto Sans CJK SC"/>
        <family val="2"/>
      </rPr>
      <t xml:space="preserve">정의</t>
    </r>
  </si>
  <si>
    <r>
      <rPr>
        <sz val="10"/>
        <color rgb="FF222222"/>
        <rFont val="Arial"/>
        <family val="2"/>
        <charset val="1"/>
      </rPr>
      <t xml:space="preserve">MoSCoW(</t>
    </r>
    <r>
      <rPr>
        <sz val="10"/>
        <color rgb="FF222222"/>
        <rFont val="Noto Sans CJK SC"/>
        <family val="2"/>
      </rPr>
      <t xml:space="preserve">우선순위 분류법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 xml:space="preserve">초안</t>
    </r>
  </si>
  <si>
    <t xml:space="preserve"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</si>
  <si>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r>
      <rPr>
        <sz val="10"/>
        <color rgb="FF222222"/>
        <rFont val="Arial"/>
        <family val="2"/>
        <charset val="1"/>
      </rPr>
      <t xml:space="preserve">Must/Should/Could/Won't </t>
    </r>
    <r>
      <rPr>
        <sz val="10"/>
        <color rgb="FF222222"/>
        <rFont val="Noto Sans CJK SC"/>
        <family val="2"/>
      </rPr>
      <t xml:space="preserve">표</t>
    </r>
  </si>
  <si>
    <r>
      <rPr>
        <sz val="10"/>
        <color rgb="FF222222"/>
        <rFont val="Arial"/>
        <family val="2"/>
        <charset val="1"/>
      </rPr>
      <t xml:space="preserve">'Won't have'</t>
    </r>
    <r>
      <rPr>
        <sz val="10"/>
        <color rgb="FF222222"/>
        <rFont val="Noto Sans CJK SC"/>
        <family val="2"/>
      </rPr>
      <t xml:space="preserve">를 명시하면 착수 후 범위가 슬금슬금 늘어나는 것</t>
    </r>
    <r>
      <rPr>
        <sz val="10"/>
        <color rgb="FF222222"/>
        <rFont val="Arial"/>
        <family val="2"/>
        <charset val="1"/>
      </rPr>
      <t xml:space="preserve">(</t>
    </r>
    <r>
      <rPr>
        <sz val="10"/>
        <color rgb="FF222222"/>
        <rFont val="Noto Sans CJK SC"/>
        <family val="2"/>
      </rPr>
      <t xml:space="preserve">스코프 크립</t>
    </r>
    <r>
      <rPr>
        <sz val="10"/>
        <color rgb="FF222222"/>
        <rFont val="Arial"/>
        <family val="2"/>
        <charset val="1"/>
      </rPr>
      <t xml:space="preserve">)</t>
    </r>
    <r>
      <rPr>
        <sz val="10"/>
        <color rgb="FF222222"/>
        <rFont val="Noto Sans CJK SC"/>
        <family val="2"/>
      </rPr>
      <t xml:space="preserve">을 막을 수 있음</t>
    </r>
    <r>
      <rPr>
        <sz val="10"/>
        <color rgb="FF222222"/>
        <rFont val="Arial"/>
        <family val="2"/>
        <charset val="1"/>
      </rPr>
      <t xml:space="preserve">.</t>
    </r>
  </si>
  <si>
    <t xml:space="preserve">ㄴ</t>
  </si>
  <si>
    <r>
      <rPr>
        <b val="true"/>
        <sz val="10"/>
        <color rgb="FF222222"/>
        <rFont val="Arial"/>
        <family val="1"/>
        <charset val="1"/>
      </rPr>
      <t xml:space="preserve">④ WBS(</t>
    </r>
    <r>
      <rPr>
        <b val="true"/>
        <sz val="10"/>
        <color rgb="FF222222"/>
        <rFont val="Noto Sans CJK SC"/>
        <family val="2"/>
      </rPr>
      <t xml:space="preserve">작업분해구조</t>
    </r>
    <r>
      <rPr>
        <b val="true"/>
        <sz val="10"/>
        <color rgb="FF222222"/>
        <rFont val="Arial"/>
        <family val="1"/>
        <charset val="1"/>
      </rPr>
      <t xml:space="preserve">)
</t>
    </r>
    <r>
      <rPr>
        <b val="true"/>
        <sz val="10"/>
        <color rgb="FF222222"/>
        <rFont val="Noto Sans CJK SC"/>
        <family val="2"/>
      </rPr>
      <t xml:space="preserve">작성</t>
    </r>
  </si>
  <si>
    <r>
      <rPr>
        <sz val="10"/>
        <color rgb="FF222222"/>
        <rFont val="Arial"/>
        <family val="2"/>
        <charset val="1"/>
      </rPr>
      <t xml:space="preserve">WBS </t>
    </r>
    <r>
      <rPr>
        <sz val="10"/>
        <color rgb="FF222222"/>
        <rFont val="Noto Sans CJK SC"/>
        <family val="2"/>
      </rPr>
      <t xml:space="preserve">초안 생성</t>
    </r>
  </si>
  <si>
    <t xml:space="preserve"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</si>
  <si>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 xml:space="preserve">작업분해 + 일정 표</t>
  </si>
  <si>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오늘 날짜</t>
    </r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와 </t>
    </r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납기</t>
    </r>
    <r>
      <rPr>
        <sz val="10"/>
        <color rgb="FF222222"/>
        <rFont val="Arial"/>
        <family val="2"/>
        <charset val="1"/>
      </rPr>
      <t xml:space="preserve">'</t>
    </r>
    <r>
      <rPr>
        <sz val="10"/>
        <color rgb="FF222222"/>
        <rFont val="Noto Sans CJK SC"/>
        <family val="2"/>
      </rPr>
      <t xml:space="preserve">를 반드시 알려줘야 실제 캘린더에 맞는 일정이 나옴</t>
    </r>
    <r>
      <rPr>
        <sz val="10"/>
        <color rgb="FF222222"/>
        <rFont val="Arial"/>
        <family val="2"/>
        <charset val="1"/>
      </rPr>
      <t xml:space="preserve">.</t>
    </r>
  </si>
  <si>
    <r>
      <rPr>
        <b val="true"/>
        <sz val="10"/>
        <color rgb="FF222222"/>
        <rFont val="Arial"/>
        <family val="2"/>
        <charset val="1"/>
      </rPr>
      <t xml:space="preserve">LLM (ChatGPT) </t>
    </r>
    <r>
      <rPr>
        <b val="true"/>
        <sz val="10"/>
        <color rgb="FF222222"/>
        <rFont val="Noto Sans CJK SC"/>
        <family val="2"/>
      </rPr>
      <t xml:space="preserve">사용 팁</t>
    </r>
  </si>
  <si>
    <t xml:space="preserve">•</t>
  </si>
  <si>
    <t xml:space="preserve">파일 업로드, 웹검색, 이미지 첨부가 가능하니 개발 의뢰 문서(RFP) 파일을 그대로 올려도 됨</t>
  </si>
  <si>
    <t xml:space="preserve">표 형태로 답을 받으면 그대로 복사해 엑셀(Ctrl+V)에 붙여넣기가 가능 - 이 워크북의 실습란에 바로 활용</t>
  </si>
  <si>
    <t xml:space="preserve">ChatGPT의 결과는 최신 정보가 아닐 수 있으니, 사실관계(가격, 법령, API 스펙 등)는 공식 문서로 반드시 재확인</t>
  </si>
  <si>
    <r>
      <rPr>
        <b val="true"/>
        <sz val="16"/>
        <color rgb="FFFFFFFF"/>
        <rFont val="Arial"/>
        <family val="2"/>
        <charset val="1"/>
      </rPr>
      <t xml:space="preserve">LocalHub </t>
    </r>
    <r>
      <rPr>
        <b val="true"/>
        <sz val="16"/>
        <color rgb="FFFFFFFF"/>
        <rFont val="Noto Sans CJK SC"/>
        <family val="2"/>
      </rPr>
      <t xml:space="preserve">요구사항 분석 </t>
    </r>
    <r>
      <rPr>
        <b val="true"/>
        <sz val="16"/>
        <color rgb="FFFFFFFF"/>
        <rFont val="Arial"/>
        <family val="2"/>
        <charset val="1"/>
      </rPr>
      <t xml:space="preserve">(MoSCoW)</t>
    </r>
  </si>
  <si>
    <r>
      <rPr>
        <sz val="11"/>
        <color rgb="FF222222"/>
        <rFont val="Arial"/>
        <family val="2"/>
        <charset val="1"/>
      </rPr>
      <t xml:space="preserve">MoSCoW</t>
    </r>
    <r>
      <rPr>
        <sz val="11"/>
        <color rgb="FF222222"/>
        <rFont val="Noto Sans CJK SC"/>
        <family val="2"/>
      </rPr>
      <t xml:space="preserve">란</t>
    </r>
    <r>
      <rPr>
        <sz val="11"/>
        <color rgb="FF222222"/>
        <rFont val="Arial"/>
        <family val="2"/>
        <charset val="1"/>
      </rPr>
      <t xml:space="preserve">? </t>
    </r>
    <r>
      <rPr>
        <sz val="11"/>
        <color rgb="FF222222"/>
        <rFont val="Noto Sans CJK SC"/>
        <family val="2"/>
      </rPr>
      <t xml:space="preserve">요구사항을 </t>
    </r>
    <r>
      <rPr>
        <sz val="11"/>
        <color rgb="FF222222"/>
        <rFont val="Arial"/>
        <family val="2"/>
        <charset val="1"/>
      </rPr>
      <t xml:space="preserve">Must(</t>
    </r>
    <r>
      <rPr>
        <sz val="11"/>
        <color rgb="FF222222"/>
        <rFont val="Noto Sans CJK SC"/>
        <family val="2"/>
      </rPr>
      <t xml:space="preserve">반드시</t>
    </r>
    <r>
      <rPr>
        <sz val="11"/>
        <color rgb="FF222222"/>
        <rFont val="Arial"/>
        <family val="2"/>
        <charset val="1"/>
      </rPr>
      <t xml:space="preserve">)/Should(</t>
    </r>
    <r>
      <rPr>
        <sz val="11"/>
        <color rgb="FF222222"/>
        <rFont val="Noto Sans CJK SC"/>
        <family val="2"/>
      </rPr>
      <t xml:space="preserve">중요</t>
    </r>
    <r>
      <rPr>
        <sz val="11"/>
        <color rgb="FF222222"/>
        <rFont val="Arial"/>
        <family val="2"/>
        <charset val="1"/>
      </rPr>
      <t xml:space="preserve">)/Could(</t>
    </r>
    <r>
      <rPr>
        <sz val="11"/>
        <color rgb="FF222222"/>
        <rFont val="Noto Sans CJK SC"/>
        <family val="2"/>
      </rPr>
      <t xml:space="preserve">있으면 좋음</t>
    </r>
    <r>
      <rPr>
        <sz val="11"/>
        <color rgb="FF222222"/>
        <rFont val="Arial"/>
        <family val="2"/>
        <charset val="1"/>
      </rPr>
      <t xml:space="preserve">)/Won't(</t>
    </r>
    <r>
      <rPr>
        <sz val="11"/>
        <color rgb="FF222222"/>
        <rFont val="Noto Sans CJK SC"/>
        <family val="2"/>
      </rPr>
      <t xml:space="preserve">이번엔 제외</t>
    </r>
    <r>
      <rPr>
        <sz val="11"/>
        <color rgb="FF222222"/>
        <rFont val="Arial"/>
        <family val="2"/>
        <charset val="1"/>
      </rPr>
      <t xml:space="preserve">)</t>
    </r>
    <r>
      <rPr>
        <sz val="11"/>
        <color rgb="FF222222"/>
        <rFont val="Noto Sans CJK SC"/>
        <family val="2"/>
      </rPr>
      <t xml:space="preserve">로 나눠 우선순위를 정하는 방법입니다</t>
    </r>
    <r>
      <rPr>
        <sz val="11"/>
        <color rgb="FF222222"/>
        <rFont val="Arial"/>
        <family val="2"/>
        <charset val="1"/>
      </rPr>
      <t xml:space="preserve">.</t>
    </r>
  </si>
  <si>
    <t xml:space="preserve">구분</t>
  </si>
  <si>
    <t xml:space="preserve">항목</t>
  </si>
  <si>
    <t xml:space="preserve">상세 내용</t>
  </si>
  <si>
    <t xml:space="preserve">개발 의뢰 문서
(RFP) 근거</t>
  </si>
  <si>
    <t xml:space="preserve">검토의견</t>
  </si>
  <si>
    <t xml:space="preserve">▶ 실습란 (ChatGPT 결과를 검토하며 직접 채워보세요 — 개발 의뢰 문서(RFP)를 처음부터 분석)</t>
  </si>
  <si>
    <t xml:space="preserve">Must</t>
  </si>
  <si>
    <t xml:space="preserve">권역 1곳 선정 및 제공 JSON 데이터 연동</t>
  </si>
  <si>
    <t xml:space="preserve">5개 권역(서울/경기, 대전/충청, 구미/경북, 광주/전라, 부울경/경남) 중 1곳 선정. 제공 JSON 기반 FE(화면)/BE(서버) 데이터 연동 (공공 API 직접 호출 불필요)</t>
  </si>
  <si>
    <t xml:space="preserve">III-1-가</t>
  </si>
  <si>
    <t xml:space="preserve">우리 팀 선정: 서울/경기 — 팀원 생활권이라 데이터 검증이 빠름. 공공API 직접 연동은 불필요함을 확인</t>
  </si>
  <si>
    <t xml:space="preserve">익명 커뮤니티 CRUD(등록·조회·수정·삭제)</t>
  </si>
  <si>
    <t xml:space="preserve">회원가입/로그인 없이 수정용 비밀번호로만 권한 확인, 게시글 등록/목록/상세/수정/삭제</t>
  </si>
  <si>
    <t xml:space="preserve">III-2</t>
  </si>
  <si>
    <t xml:space="preserve">비밀번호 평문 저장은 실무 기준으론 위험하지만 교육 목적상 의도된 설계 — 팀 전체가 이유를 인지할 것</t>
  </si>
  <si>
    <t xml:space="preserve">챗봇 기능 (FastAPI)</t>
  </si>
  <si>
    <t xml:space="preserve">POST /api/chat, 제공 JSON 기반 자연어 질의응답, 대화 히스토리 유지 UI</t>
  </si>
  <si>
    <t xml:space="preserve">III-3</t>
  </si>
  <si>
    <t xml:space="preserve">대화 히스토리 유지 UI는 놓치기 쉬운 요구사항 — 화면 설계 단계에서 반드시 반영</t>
  </si>
  <si>
    <t xml:space="preserve">기술스택 고정</t>
  </si>
  <si>
    <t xml:space="preserve">FE(화면): Vue.js 3(SPA) / BE(서버): FastAPI + SQLAlchemy + SQLite</t>
  </si>
  <si>
    <t xml:space="preserve">III-4,5</t>
  </si>
  <si>
    <t xml:space="preserve">지정 스택 외 임의 변경 불가(React·Django 등 금지) — 착수 전 팀 전체 숙지</t>
  </si>
  <si>
    <t xml:space="preserve">배포 및 URL 동작 확인</t>
  </si>
  <si>
    <t xml:space="preserve">FE→Netlify, BE→Render 배포, 배포 후 URL 정상 동작 확인까지가 산출물</t>
  </si>
  <si>
    <t xml:space="preserve">III-6</t>
  </si>
  <si>
    <t xml:space="preserve">Day3 오전에 1차 배포 시도 — 마지막으로 미루면 실패 위험이 가장 큰 구간</t>
  </si>
  <si>
    <t xml:space="preserve">선택기능 최소 1개 자율 추가</t>
  </si>
  <si>
    <t xml:space="preserve">선택기능 후보 9종(지도/대시보드/캘린더/경로/날씨/알림/다국어/공유/게시판 추가기능) 중 최소 1개 구현</t>
  </si>
  <si>
    <t xml:space="preserve">IV-참고2</t>
  </si>
  <si>
    <t xml:space="preserve">'최소 1개'는 필수 조건, 무엇을 고를지는 자율 — 3일 납기상 1개를 확실히 완성하는 쪽이 안전</t>
  </si>
  <si>
    <t xml:space="preserve">제약</t>
  </si>
  <si>
    <t xml:space="preserve">개발도구 제한</t>
  </si>
  <si>
    <t xml:space="preserve">VSCode Copilot + OpenAI API 조합만 허용. Cursor/Codex 등 타 AI 코딩 도구 사용 금지(보안 사유)</t>
  </si>
  <si>
    <t xml:space="preserve">III-7</t>
  </si>
  <si>
    <t xml:space="preserve">위반 시 보안 사유로 문제될 수 있음 — 착수 전 팀 전체 공지 필요</t>
  </si>
  <si>
    <t xml:space="preserve">보안(.env 관리)</t>
  </si>
  <si>
    <t xml:space="preserve">API 키·DB 경로 등 민감정보는 .env로 분리 관리, 소스/GitHub 직접 기재 절대 금지, .gitignore 등록 필수</t>
  </si>
  <si>
    <t xml:space="preserve">III-5-나</t>
  </si>
  <si>
    <t xml:space="preserve">.gitignore 미등록 시 키 유출 위험 — 첫 커밋 전 반드시 확인, 유출 시 즉시 키 재발급</t>
  </si>
  <si>
    <t xml:space="preserve">일정·범위 고정</t>
  </si>
  <si>
    <t xml:space="preserve">납기 고정, 착수 후 기능 요구사항 변경 없음</t>
  </si>
  <si>
    <t xml:space="preserve">II-2</t>
  </si>
  <si>
    <t xml:space="preserve">착수 후 기능 추가는 원칙적으로 불가 — MVP 정의 단계에서 범위를 최종 확정해야 함</t>
  </si>
  <si>
    <t xml:space="preserve">Should</t>
  </si>
  <si>
    <t xml:space="preserve">데이터 라이선스 확인</t>
  </si>
  <si>
    <t xml:space="preserve">제공 JSON 외 추가 수집 시 공공누리 유형(1~4) 및 상업적 활용 가능 여부 사전 확인</t>
  </si>
  <si>
    <t xml:space="preserve">III-1-나</t>
  </si>
  <si>
    <t xml:space="preserve">제공 JSON 외 추가 수집·외부 API 사용 시 라이선스 확인 대상 (예비후보인 지도 기능 착수 시 Leaflet+OpenStreetMap 출처 표기 필요)</t>
  </si>
  <si>
    <t xml:space="preserve">Could</t>
  </si>
  <si>
    <t xml:space="preserve">선택기능 2순위(예비)</t>
  </si>
  <si>
    <t xml:space="preserve">1순위 선택기능(커뮤니티 게시판 추가 기능) 완료 후 시간이 남을 때만 착수 (지도 시각화 → 축제 캘린더 순)</t>
  </si>
  <si>
    <t xml:space="preserve">-</t>
  </si>
  <si>
    <t xml:space="preserve">여유가 없으면 과감히 포기 — 필수기능 완성이 항상 우선</t>
  </si>
  <si>
    <t xml:space="preserve">선택기능 아이디어 도출 및 평가</t>
  </si>
  <si>
    <t xml:space="preserve">평가기준: 
 - 실현가능성(우리 팀이 얼마나 쉽게 만들 수 있는가)
 - 임팩트(사용자에게 얼마나 도움이 되는가)는 5점 만점(5=최고)
 - 종합점수 = 실현가능성 x 임팩트 x 2 (자동계산, 50점 만점)</t>
  </si>
  <si>
    <t xml:space="preserve">작성 가이드: 실현가능성은 구현난이도가 낮을수록 높게(예: 난이도2-&gt;실현가능성4), 임팩트는 사용자 체감효과로 팀이 토론 후 채점</t>
  </si>
  <si>
    <t xml:space="preserve">선택기능</t>
  </si>
  <si>
    <t xml:space="preserve">설명</t>
  </si>
  <si>
    <t xml:space="preserve">구현난이도
(1~5,낮을수록쉬움)</t>
  </si>
  <si>
    <t xml:space="preserve">실현가능성
(1~5)</t>
  </si>
  <si>
    <t xml:space="preserve">임팩트
(1~5)</t>
  </si>
  <si>
    <t xml:space="preserve">종합점수(자동)</t>
  </si>
  <si>
    <t xml:space="preserve">선정여부</t>
  </si>
  <si>
    <t xml:space="preserve">지도 시각화</t>
  </si>
  <si>
    <r>
      <rPr>
        <sz val="10"/>
        <color rgb="FF222222"/>
        <rFont val="Arial"/>
        <family val="2"/>
        <charset val="1"/>
      </rPr>
      <t xml:space="preserve">Leaflet.js(OpenStreetMap) </t>
    </r>
    <r>
      <rPr>
        <sz val="10"/>
        <color rgb="FF222222"/>
        <rFont val="Noto Sans CJK SC"/>
        <family val="2"/>
      </rPr>
      <t xml:space="preserve">또는 </t>
    </r>
    <r>
      <rPr>
        <sz val="10"/>
        <color rgb="FF222222"/>
        <rFont val="Arial"/>
        <family val="2"/>
        <charset val="1"/>
      </rPr>
      <t xml:space="preserve">Kakao Maps</t>
    </r>
    <r>
      <rPr>
        <sz val="10"/>
        <color rgb="FF222222"/>
        <rFont val="Noto Sans CJK SC"/>
        <family val="2"/>
      </rPr>
      <t xml:space="preserve">로 관광지</t>
    </r>
    <r>
      <rPr>
        <sz val="10"/>
        <color rgb="FF222222"/>
        <rFont val="Arial"/>
        <family val="2"/>
        <charset val="1"/>
      </rPr>
      <t xml:space="preserve">·</t>
    </r>
    <r>
      <rPr>
        <sz val="10"/>
        <color rgb="FF222222"/>
        <rFont val="Noto Sans CJK SC"/>
        <family val="2"/>
      </rPr>
      <t xml:space="preserve">맛집 핀 시각화 및 권역 필터</t>
    </r>
  </si>
  <si>
    <t xml:space="preserve">보류 (예비 1순위)</t>
  </si>
  <si>
    <t xml:space="preserve">데이터 시각화 대시보드</t>
  </si>
  <si>
    <r>
      <rPr>
        <sz val="10"/>
        <color rgb="FF222222"/>
        <rFont val="Arial"/>
        <family val="2"/>
        <charset val="1"/>
      </rPr>
      <t xml:space="preserve">Chart.js/D3.js</t>
    </r>
    <r>
      <rPr>
        <sz val="10"/>
        <color rgb="FF222222"/>
        <rFont val="Noto Sans CJK SC"/>
        <family val="2"/>
      </rPr>
      <t xml:space="preserve">로 권역별 게시글 현황</t>
    </r>
    <r>
      <rPr>
        <sz val="10"/>
        <color rgb="FF222222"/>
        <rFont val="Arial"/>
        <family val="2"/>
        <charset val="1"/>
      </rPr>
      <t xml:space="preserve">·</t>
    </r>
    <r>
      <rPr>
        <sz val="10"/>
        <color rgb="FF222222"/>
        <rFont val="Noto Sans CJK SC"/>
        <family val="2"/>
      </rPr>
      <t xml:space="preserve">인기 지역 통계 시각화</t>
    </r>
  </si>
  <si>
    <t xml:space="preserve">제외</t>
  </si>
  <si>
    <t xml:space="preserve">축제 캘린더</t>
  </si>
  <si>
    <r>
      <rPr>
        <sz val="10"/>
        <color rgb="FF222222"/>
        <rFont val="Arial"/>
        <family val="2"/>
        <charset val="1"/>
      </rPr>
      <t xml:space="preserve">FullCalendar </t>
    </r>
    <r>
      <rPr>
        <sz val="10"/>
        <color rgb="FF222222"/>
        <rFont val="Noto Sans CJK SC"/>
        <family val="2"/>
      </rPr>
      <t xml:space="preserve">등으로 권역별 축제 일정을 캘린더 형태로 시각화</t>
    </r>
  </si>
  <si>
    <t xml:space="preserve">보류 (예비 2순위)</t>
  </si>
  <si>
    <t xml:space="preserve">경로 안내</t>
  </si>
  <si>
    <t xml:space="preserve">복수 관광지·맛집을 선택해 이동 경로를 지도에 표시</t>
  </si>
  <si>
    <t xml:space="preserve">날씨 정보 연동</t>
  </si>
  <si>
    <t xml:space="preserve">외부 날씨 API 연동, 권역별 현재 날씨·여행 적합 여부 표시</t>
  </si>
  <si>
    <t xml:space="preserve">보류</t>
  </si>
  <si>
    <t xml:space="preserve">실시간 알림</t>
  </si>
  <si>
    <r>
      <rPr>
        <sz val="10"/>
        <color rgb="FF222222"/>
        <rFont val="Arial"/>
        <family val="2"/>
        <charset val="1"/>
      </rPr>
      <t xml:space="preserve">WebSocket </t>
    </r>
    <r>
      <rPr>
        <sz val="10"/>
        <color rgb="FF222222"/>
        <rFont val="Noto Sans CJK SC"/>
        <family val="2"/>
      </rPr>
      <t xml:space="preserve">기반 새 게시글 실시간 알림 </t>
    </r>
    <r>
      <rPr>
        <sz val="10"/>
        <color rgb="FF222222"/>
        <rFont val="Arial"/>
        <family val="2"/>
        <charset val="1"/>
      </rPr>
      <t xml:space="preserve">/ </t>
    </r>
    <r>
      <rPr>
        <sz val="10"/>
        <color rgb="FF222222"/>
        <rFont val="Noto Sans CJK SC"/>
        <family val="2"/>
      </rPr>
      <t xml:space="preserve">접속자 현황 표시</t>
    </r>
  </si>
  <si>
    <t xml:space="preserve">다국어 지원</t>
  </si>
  <si>
    <r>
      <rPr>
        <sz val="10"/>
        <color rgb="FF222222"/>
        <rFont val="Arial"/>
        <family val="2"/>
        <charset val="1"/>
      </rPr>
      <t xml:space="preserve">i18n </t>
    </r>
    <r>
      <rPr>
        <sz val="10"/>
        <color rgb="FF222222"/>
        <rFont val="Noto Sans CJK SC"/>
        <family val="2"/>
      </rPr>
      <t xml:space="preserve">활용 한</t>
    </r>
    <r>
      <rPr>
        <sz val="10"/>
        <color rgb="FF222222"/>
        <rFont val="Arial"/>
        <family val="2"/>
        <charset val="1"/>
      </rPr>
      <t xml:space="preserve">/</t>
    </r>
    <r>
      <rPr>
        <sz val="10"/>
        <color rgb="FF222222"/>
        <rFont val="Noto Sans CJK SC"/>
        <family val="2"/>
      </rPr>
      <t xml:space="preserve">영 전환 및 다국어 지역정보 콘텐츠 제공</t>
    </r>
  </si>
  <si>
    <t xml:space="preserve">소셜 공유 연동</t>
  </si>
  <si>
    <t xml:space="preserve">카카오톡·링크 복사 공유 및 OG 태그 메타데이터 구성</t>
  </si>
  <si>
    <t xml:space="preserve">커뮤니티 게시판 추가기능</t>
  </si>
  <si>
    <t xml:space="preserve">조회수·게시글 검색·북마크·좋아요·이미지 첨부·태그 기능</t>
  </si>
  <si>
    <t xml:space="preserve">선정 (1순위)</t>
  </si>
  <si>
    <t xml:space="preserve">선정 결과</t>
  </si>
  <si>
    <t xml:space="preserve">커뮤니티 게시판 추가 기능 (선정 1순위, 종합 50점) — 조회수·게시글 검색·좋아요·태그를 우선 구현, 이미지 첨부·북마크는 여유 시 추가
선정 근거: 기존 게시판 CRUD를 확장하는 방식이라 새 라이브러리·외부 API·키 발급이 전혀 필요 없음(난이도 1) → 3일 납기에서 가장 확실하게 완성 가능하고, 커뮤니티 서비스의 사용자 체감 효과도 큼
예비 후보: 지도 시각화(40점, Leaflet+OpenStreetMap) → 축제 캘린더(32점) 순으로 필수기능 완료 후 여유가 있을 때만 착수
제외 사유: 경로 안내·실시간 알림은 3일 납기 대비 난이도 과다 / 대시보드·다국어·소셜 공유는 사용자 체감 효과 대비 실익 낮음
※ 위 점수는 AI 초안을 팀 논의로 조정한 결과 (팀 경험 반영: 게시판 확장 기능의 임팩트 상향)</t>
  </si>
  <si>
    <r>
      <rPr>
        <b val="true"/>
        <sz val="16"/>
        <color rgb="FFFFFFFF"/>
        <rFont val="Arial"/>
        <family val="2"/>
        <charset val="1"/>
      </rPr>
      <t xml:space="preserve">LocalHub MVP </t>
    </r>
    <r>
      <rPr>
        <b val="true"/>
        <sz val="16"/>
        <color rgb="FFFFFFFF"/>
        <rFont val="Noto Sans CJK SC"/>
        <family val="2"/>
      </rPr>
      <t xml:space="preserve">정의서</t>
    </r>
  </si>
  <si>
    <r>
      <rPr>
        <sz val="9"/>
        <color rgb="FF222222"/>
        <rFont val="Arial"/>
        <family val="2"/>
        <charset val="1"/>
      </rPr>
      <t xml:space="preserve">MVP(Minimum Viable Product, </t>
    </r>
    <r>
      <rPr>
        <sz val="9"/>
        <color rgb="FF222222"/>
        <rFont val="Noto Sans CJK SC"/>
        <family val="2"/>
      </rPr>
      <t xml:space="preserve">최소기능제품</t>
    </r>
    <r>
      <rPr>
        <sz val="9"/>
        <color rgb="FF222222"/>
        <rFont val="Arial"/>
        <family val="2"/>
        <charset val="1"/>
      </rPr>
      <t xml:space="preserve">)</t>
    </r>
    <r>
      <rPr>
        <sz val="9"/>
        <color rgb="FF222222"/>
        <rFont val="Noto Sans CJK SC"/>
        <family val="2"/>
      </rPr>
      <t xml:space="preserve">란</t>
    </r>
    <r>
      <rPr>
        <sz val="9"/>
        <color rgb="FF222222"/>
        <rFont val="Arial"/>
        <family val="2"/>
        <charset val="1"/>
      </rPr>
      <t xml:space="preserve">? </t>
    </r>
    <r>
      <rPr>
        <sz val="9"/>
        <color rgb="FF222222"/>
        <rFont val="Noto Sans CJK SC"/>
        <family val="2"/>
      </rPr>
      <t xml:space="preserve">핵심 기능만 담아 가장 빠르게 완성하는 최소 버전의 제품</t>
    </r>
  </si>
  <si>
    <t xml:space="preserve">선정 권역</t>
  </si>
  <si>
    <t xml:space="preserve">서울/경기</t>
  </si>
  <si>
    <t xml:space="preserve">핵심 문제</t>
  </si>
  <si>
    <t xml:space="preserve">서울·경기 지역의 관광지·맛집·축제 정보가 여러 공공데이터에 흩어져 있어, 방문객과 주민이 한 곳에서 찾아보고 후기를 공유할 채널이 없음</t>
  </si>
  <si>
    <t xml:space="preserve">타깃 사용자</t>
  </si>
  <si>
    <t xml:space="preserve">서울/경기를 방문하는 관광객 및 지역 주민 (회원가입 부담 없이 익명으로 읽고 쓰는 이용자)</t>
  </si>
  <si>
    <t xml:space="preserve">성공 지표</t>
  </si>
  <si>
    <t xml:space="preserve">납기 내 필수기능 100% 구현 + 선택기능 1개(커뮤니티 게시판 추가 기능) 포함 배포 + FE/BE 배포 URL 정상 동작 + 챗봇 질의응답 정상 응답</t>
  </si>
  <si>
    <r>
      <rPr>
        <b val="true"/>
        <sz val="10"/>
        <color rgb="FF222222"/>
        <rFont val="Arial"/>
        <family val="2"/>
        <charset val="1"/>
      </rPr>
      <t xml:space="preserve">Must have (</t>
    </r>
    <r>
      <rPr>
        <b val="true"/>
        <sz val="10"/>
        <color rgb="FF222222"/>
        <rFont val="Noto Sans CJK SC"/>
        <family val="2"/>
      </rPr>
      <t xml:space="preserve">반드시 포함 </t>
    </r>
    <r>
      <rPr>
        <b val="true"/>
        <sz val="10"/>
        <color rgb="FF222222"/>
        <rFont val="Arial"/>
        <family val="2"/>
        <charset val="1"/>
      </rPr>
      <t xml:space="preserve">- </t>
    </r>
    <r>
      <rPr>
        <b val="true"/>
        <sz val="10"/>
        <color rgb="FF222222"/>
        <rFont val="Noto Sans CJK SC"/>
        <family val="2"/>
      </rPr>
      <t xml:space="preserve">개발 의뢰 문서</t>
    </r>
    <r>
      <rPr>
        <b val="true"/>
        <sz val="10"/>
        <color rgb="FF222222"/>
        <rFont val="Arial"/>
        <family val="2"/>
        <charset val="1"/>
      </rPr>
      <t xml:space="preserve">(RFP) </t>
    </r>
    <r>
      <rPr>
        <b val="true"/>
        <sz val="10"/>
        <color rgb="FF222222"/>
        <rFont val="Noto Sans CJK SC"/>
        <family val="2"/>
      </rPr>
      <t xml:space="preserve">필수 요구사항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</si>
  <si>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서울/경기 권역 익명 게시판 CRUD (목록/상세/작성/수정/삭제, 수정용 비밀번호 기반 권한 확인)</t>
  </si>
  <si>
    <t xml:space="preserve">챗봇 API(POST /api/chat) 및 채팅 UI (제공 JSON 기반 응답, 대화 히스토리 유지, 모바일 대응)</t>
  </si>
  <si>
    <r>
      <rPr>
        <sz val="10"/>
        <color rgb="FF222222"/>
        <rFont val="Arial"/>
        <family val="2"/>
        <charset val="1"/>
      </rPr>
      <t xml:space="preserve">FE(</t>
    </r>
    <r>
      <rPr>
        <sz val="10"/>
        <color rgb="FF222222"/>
        <rFont val="Noto Sans CJK SC"/>
        <family val="2"/>
      </rPr>
      <t xml:space="preserve">화면</t>
    </r>
    <r>
      <rPr>
        <sz val="10"/>
        <color rgb="FF222222"/>
        <rFont val="Arial"/>
        <family val="2"/>
        <charset val="1"/>
      </rPr>
      <t xml:space="preserve">): Vue.js 3 SPA / BE(</t>
    </r>
    <r>
      <rPr>
        <sz val="10"/>
        <color rgb="FF222222"/>
        <rFont val="Noto Sans CJK SC"/>
        <family val="2"/>
      </rPr>
      <t xml:space="preserve">서버</t>
    </r>
    <r>
      <rPr>
        <sz val="10"/>
        <color rgb="FF222222"/>
        <rFont val="Arial"/>
        <family val="2"/>
        <charset val="1"/>
      </rPr>
      <t xml:space="preserve">): FastAPI + SQLAlchemy + SQLite — </t>
    </r>
    <r>
      <rPr>
        <sz val="10"/>
        <color rgb="FF222222"/>
        <rFont val="Noto Sans CJK SC"/>
        <family val="2"/>
      </rPr>
      <t xml:space="preserve">지정 스택 고정</t>
    </r>
  </si>
  <si>
    <r>
      <rPr>
        <sz val="10"/>
        <color rgb="FF222222"/>
        <rFont val="Arial"/>
        <family val="2"/>
        <charset val="1"/>
      </rPr>
      <t xml:space="preserve">Netlify(FE)·Render(BE) </t>
    </r>
    <r>
      <rPr>
        <sz val="10"/>
        <color rgb="FF222222"/>
        <rFont val="Noto Sans CJK SC"/>
        <family val="2"/>
      </rPr>
      <t xml:space="preserve">배포 및 </t>
    </r>
    <r>
      <rPr>
        <sz val="10"/>
        <color rgb="FF222222"/>
        <rFont val="Arial"/>
        <family val="2"/>
        <charset val="1"/>
      </rPr>
      <t xml:space="preserve">URL </t>
    </r>
    <r>
      <rPr>
        <sz val="10"/>
        <color rgb="FF222222"/>
        <rFont val="Noto Sans CJK SC"/>
        <family val="2"/>
      </rPr>
      <t xml:space="preserve">동작 확인 </t>
    </r>
    <r>
      <rPr>
        <sz val="10"/>
        <color rgb="FF222222"/>
        <rFont val="Arial"/>
        <family val="2"/>
        <charset val="1"/>
      </rPr>
      <t xml:space="preserve">/ API </t>
    </r>
    <r>
      <rPr>
        <sz val="10"/>
        <color rgb="FF222222"/>
        <rFont val="Noto Sans CJK SC"/>
        <family val="2"/>
      </rPr>
      <t xml:space="preserve">키는 </t>
    </r>
    <r>
      <rPr>
        <sz val="10"/>
        <color rgb="FF222222"/>
        <rFont val="Arial"/>
        <family val="2"/>
        <charset val="1"/>
      </rPr>
      <t xml:space="preserve">.env</t>
    </r>
    <r>
      <rPr>
        <sz val="10"/>
        <color rgb="FF222222"/>
        <rFont val="Noto Sans CJK SC"/>
        <family val="2"/>
      </rPr>
      <t xml:space="preserve">로 관리하고 </t>
    </r>
    <r>
      <rPr>
        <sz val="10"/>
        <color rgb="FF222222"/>
        <rFont val="Arial"/>
        <family val="2"/>
        <charset val="1"/>
      </rPr>
      <t xml:space="preserve">.gitignore </t>
    </r>
    <r>
      <rPr>
        <sz val="10"/>
        <color rgb="FF222222"/>
        <rFont val="Noto Sans CJK SC"/>
        <family val="2"/>
      </rPr>
      <t xml:space="preserve">등록</t>
    </r>
  </si>
  <si>
    <t xml:space="preserve">기능명세서(데이터 출처·라이선스 목록 포함) 및 WBS 문서 제출</t>
  </si>
  <si>
    <r>
      <rPr>
        <b val="true"/>
        <sz val="10"/>
        <color rgb="FF222222"/>
        <rFont val="Arial"/>
        <family val="2"/>
        <charset val="1"/>
      </rPr>
      <t xml:space="preserve">Should / Could have (</t>
    </r>
    <r>
      <rPr>
        <b val="true"/>
        <sz val="10"/>
        <color rgb="FF222222"/>
        <rFont val="Noto Sans CJK SC"/>
        <family val="2"/>
      </rPr>
      <t xml:space="preserve">선정 기능</t>
    </r>
    <r>
      <rPr>
        <b val="true"/>
        <sz val="10"/>
        <color rgb="FF222222"/>
        <rFont val="Arial"/>
        <family val="2"/>
        <charset val="1"/>
      </rPr>
      <t xml:space="preserve">: </t>
    </r>
    <r>
      <rPr>
        <b val="true"/>
        <sz val="10"/>
        <color rgb="FF222222"/>
        <rFont val="Noto Sans CJK SC"/>
        <family val="2"/>
      </rPr>
      <t xml:space="preserve">커뮤니티 게시판 추가 기능</t>
    </r>
    <r>
      <rPr>
        <b val="true"/>
        <sz val="10"/>
        <color rgb="FF222222"/>
        <rFont val="Arial"/>
        <family val="2"/>
        <charset val="1"/>
      </rPr>
      <t xml:space="preserve">)</t>
    </r>
  </si>
  <si>
    <r>
      <rPr>
        <sz val="10"/>
        <color rgb="FF222222"/>
        <rFont val="Arial"/>
        <family val="2"/>
        <charset val="1"/>
      </rPr>
      <t xml:space="preserve">[Should] </t>
    </r>
    <r>
      <rPr>
        <sz val="10"/>
        <color rgb="FF222222"/>
        <rFont val="Noto Sans CJK SC"/>
        <family val="2"/>
      </rPr>
      <t xml:space="preserve">게시글 검색 </t>
    </r>
    <r>
      <rPr>
        <sz val="10"/>
        <color rgb="FF222222"/>
        <rFont val="Arial"/>
        <family val="2"/>
        <charset val="1"/>
      </rPr>
      <t xml:space="preserve">+ </t>
    </r>
    <r>
      <rPr>
        <sz val="10"/>
        <color rgb="FF222222"/>
        <rFont val="Noto Sans CJK SC"/>
        <family val="2"/>
      </rPr>
      <t xml:space="preserve">조회수 — 제목</t>
    </r>
    <r>
      <rPr>
        <sz val="10"/>
        <color rgb="FF222222"/>
        <rFont val="Arial"/>
        <family val="2"/>
        <charset val="1"/>
      </rPr>
      <t xml:space="preserve">·</t>
    </r>
    <r>
      <rPr>
        <sz val="10"/>
        <color rgb="FF222222"/>
        <rFont val="Noto Sans CJK SC"/>
        <family val="2"/>
      </rPr>
      <t xml:space="preserve">내용 키워드 검색</t>
    </r>
    <r>
      <rPr>
        <sz val="10"/>
        <color rgb="FF222222"/>
        <rFont val="Arial"/>
        <family val="2"/>
        <charset val="1"/>
      </rPr>
      <t xml:space="preserve">(SQL LIKE), </t>
    </r>
    <r>
      <rPr>
        <sz val="10"/>
        <color rgb="FF222222"/>
        <rFont val="Noto Sans CJK SC"/>
        <family val="2"/>
      </rPr>
      <t xml:space="preserve">상세 진입 시 조회수 증가</t>
    </r>
    <r>
      <rPr>
        <sz val="10"/>
        <color rgb="FF222222"/>
        <rFont val="Arial"/>
        <family val="2"/>
        <charset val="1"/>
      </rPr>
      <t xml:space="preserve">·</t>
    </r>
    <r>
      <rPr>
        <sz val="10"/>
        <color rgb="FF222222"/>
        <rFont val="Noto Sans CJK SC"/>
        <family val="2"/>
      </rPr>
      <t xml:space="preserve">목록 노출</t>
    </r>
  </si>
  <si>
    <r>
      <rPr>
        <sz val="10"/>
        <color rgb="FF222222"/>
        <rFont val="Arial"/>
        <family val="2"/>
        <charset val="1"/>
      </rPr>
      <t xml:space="preserve">[Should] </t>
    </r>
    <r>
      <rPr>
        <sz val="10"/>
        <color rgb="FF222222"/>
        <rFont val="Noto Sans CJK SC"/>
        <family val="2"/>
      </rPr>
      <t xml:space="preserve">좋아요 </t>
    </r>
    <r>
      <rPr>
        <sz val="10"/>
        <color rgb="FF222222"/>
        <rFont val="Arial"/>
        <family val="2"/>
        <charset val="1"/>
      </rPr>
      <t xml:space="preserve">+ </t>
    </r>
    <r>
      <rPr>
        <sz val="10"/>
        <color rgb="FF222222"/>
        <rFont val="Noto Sans CJK SC"/>
        <family val="2"/>
      </rPr>
      <t xml:space="preserve">태그 — 게시글 좋아요</t>
    </r>
    <r>
      <rPr>
        <sz val="10"/>
        <color rgb="FF222222"/>
        <rFont val="Arial"/>
        <family val="2"/>
        <charset val="1"/>
      </rPr>
      <t xml:space="preserve">(</t>
    </r>
    <r>
      <rPr>
        <sz val="10"/>
        <color rgb="FF222222"/>
        <rFont val="Noto Sans CJK SC"/>
        <family val="2"/>
      </rPr>
      <t xml:space="preserve">익명이므로 브라우저 저장소 기준 중복 방지</t>
    </r>
    <r>
      <rPr>
        <sz val="10"/>
        <color rgb="FF222222"/>
        <rFont val="Arial"/>
        <family val="2"/>
        <charset val="1"/>
      </rPr>
      <t xml:space="preserve">), </t>
    </r>
    <r>
      <rPr>
        <sz val="10"/>
        <color rgb="FF222222"/>
        <rFont val="Noto Sans CJK SC"/>
        <family val="2"/>
      </rPr>
      <t xml:space="preserve">태그 등록 및 태그별 필터</t>
    </r>
  </si>
  <si>
    <r>
      <rPr>
        <sz val="10"/>
        <color rgb="FF222222"/>
        <rFont val="Arial"/>
        <family val="2"/>
        <charset val="1"/>
      </rPr>
      <t xml:space="preserve">[Could] </t>
    </r>
    <r>
      <rPr>
        <sz val="10"/>
        <color rgb="FF222222"/>
        <rFont val="Noto Sans CJK SC"/>
        <family val="2"/>
      </rPr>
      <t xml:space="preserve">이미지 첨부 </t>
    </r>
    <r>
      <rPr>
        <sz val="10"/>
        <color rgb="FF222222"/>
        <rFont val="Arial"/>
        <family val="2"/>
        <charset val="1"/>
      </rPr>
      <t xml:space="preserve">· </t>
    </r>
    <r>
      <rPr>
        <sz val="10"/>
        <color rgb="FF222222"/>
        <rFont val="Noto Sans CJK SC"/>
        <family val="2"/>
      </rPr>
      <t xml:space="preserve">북마크 — 이미지 업로드</t>
    </r>
    <r>
      <rPr>
        <sz val="10"/>
        <color rgb="FF222222"/>
        <rFont val="Arial"/>
        <family val="2"/>
        <charset val="1"/>
      </rPr>
      <t xml:space="preserve">/</t>
    </r>
    <r>
      <rPr>
        <sz val="10"/>
        <color rgb="FF222222"/>
        <rFont val="Noto Sans CJK SC"/>
        <family val="2"/>
      </rPr>
      <t xml:space="preserve">썸네일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 xml:space="preserve">관심 게시글 북마크 </t>
    </r>
    <r>
      <rPr>
        <sz val="10"/>
        <color rgb="FF222222"/>
        <rFont val="Arial"/>
        <family val="2"/>
        <charset val="1"/>
      </rPr>
      <t xml:space="preserve">(</t>
    </r>
    <r>
      <rPr>
        <sz val="10"/>
        <color rgb="FF222222"/>
        <rFont val="Noto Sans CJK SC"/>
        <family val="2"/>
      </rPr>
      <t xml:space="preserve">필수기능 완료 후 여유가 있을 때만</t>
    </r>
    <r>
      <rPr>
        <sz val="10"/>
        <color rgb="FF222222"/>
        <rFont val="Arial"/>
        <family val="2"/>
        <charset val="1"/>
      </rPr>
      <t xml:space="preserve">)</t>
    </r>
  </si>
  <si>
    <r>
      <rPr>
        <b val="true"/>
        <sz val="10"/>
        <color rgb="FF222222"/>
        <rFont val="Arial"/>
        <family val="2"/>
        <charset val="1"/>
      </rPr>
      <t xml:space="preserve">Won't have (</t>
    </r>
    <r>
      <rPr>
        <b val="true"/>
        <sz val="10"/>
        <color rgb="FF222222"/>
        <rFont val="Noto Sans CJK SC"/>
        <family val="2"/>
      </rPr>
      <t xml:space="preserve">이번 </t>
    </r>
    <r>
      <rPr>
        <b val="true"/>
        <sz val="10"/>
        <color rgb="FF222222"/>
        <rFont val="Arial"/>
        <family val="2"/>
        <charset val="1"/>
      </rPr>
      <t xml:space="preserve">MVP </t>
    </r>
    <r>
      <rPr>
        <b val="true"/>
        <sz val="10"/>
        <color rgb="FF222222"/>
        <rFont val="Noto Sans CJK SC"/>
        <family val="2"/>
      </rPr>
      <t xml:space="preserve">범위에서 제외 </t>
    </r>
    <r>
      <rPr>
        <b val="true"/>
        <sz val="10"/>
        <color rgb="FF222222"/>
        <rFont val="Arial"/>
        <family val="2"/>
        <charset val="1"/>
      </rPr>
      <t xml:space="preserve">- </t>
    </r>
    <r>
      <rPr>
        <b val="true"/>
        <sz val="10"/>
        <color rgb="FF222222"/>
        <rFont val="Noto Sans CJK SC"/>
        <family val="2"/>
      </rPr>
      <t xml:space="preserve">스코프 크립</t>
    </r>
    <r>
      <rPr>
        <b val="true"/>
        <sz val="10"/>
        <color rgb="FF222222"/>
        <rFont val="Arial"/>
        <family val="2"/>
        <charset val="1"/>
      </rPr>
      <t xml:space="preserve">: </t>
    </r>
    <r>
      <rPr>
        <b val="true"/>
        <sz val="10"/>
        <color rgb="FF222222"/>
        <rFont val="Noto Sans CJK SC"/>
        <family val="2"/>
      </rPr>
      <t xml:space="preserve">범위가 계속 늘어나는 현상 방지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</si>
  <si>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회원가입/로그인·소셜 인증 등 사용자 계정 체계 (익명 + 수정용 비밀번호 방식으로 대체)</t>
  </si>
  <si>
    <t xml:space="preserve">선정하지 않은 나머지 4개 권역(대전/충청, 구미/경북, 광주/전라, 부울경/경남)의 데이터·화면</t>
  </si>
  <si>
    <t xml:space="preserve">미선정 선택기능 (경로 안내, 실시간 알림, 다국어 지원, 소셜 공유, 데이터 대시보드, 날씨 연동) — 지도 시각화·축제 캘린더는 예비후보로 남기되 이번 범위에는 미포함</t>
  </si>
  <si>
    <r>
      <rPr>
        <b val="true"/>
        <sz val="15"/>
        <color rgb="FFFFFFFF"/>
        <rFont val="Arial"/>
        <family val="2"/>
        <charset val="1"/>
      </rPr>
      <t xml:space="preserve">LocalHub WBS + </t>
    </r>
    <r>
      <rPr>
        <b val="true"/>
        <sz val="15"/>
        <color rgb="FFFFFFFF"/>
        <rFont val="Noto Sans CJK SC"/>
        <family val="2"/>
      </rPr>
      <t xml:space="preserve">간트차트 </t>
    </r>
    <r>
      <rPr>
        <b val="true"/>
        <sz val="15"/>
        <color rgb="FFFFFFFF"/>
        <rFont val="Arial"/>
        <family val="2"/>
        <charset val="1"/>
      </rPr>
      <t xml:space="preserve">(Day 1~Day 3 </t>
    </r>
    <r>
      <rPr>
        <b val="true"/>
        <sz val="15"/>
        <color rgb="FFFFFFFF"/>
        <rFont val="Noto Sans CJK SC"/>
        <family val="2"/>
      </rPr>
      <t xml:space="preserve">기준</t>
    </r>
    <r>
      <rPr>
        <b val="true"/>
        <sz val="15"/>
        <color rgb="FFFFFFFF"/>
        <rFont val="Arial"/>
        <family val="2"/>
        <charset val="1"/>
      </rPr>
      <t xml:space="preserve">)</t>
    </r>
  </si>
  <si>
    <t xml:space="preserve">Day1 실제 날짜 →</t>
  </si>
  <si>
    <r>
      <rPr>
        <sz val="8"/>
        <color rgb="FF222222"/>
        <rFont val="Arial"/>
        <family val="2"/>
        <charset val="1"/>
      </rPr>
      <t xml:space="preserve">WBS(</t>
    </r>
    <r>
      <rPr>
        <sz val="8"/>
        <color rgb="FF222222"/>
        <rFont val="Noto Sans CJK SC"/>
        <family val="2"/>
      </rPr>
      <t xml:space="preserve">작업분해구조</t>
    </r>
    <r>
      <rPr>
        <sz val="8"/>
        <color rgb="FF222222"/>
        <rFont val="Arial"/>
        <family val="2"/>
        <charset val="1"/>
      </rPr>
      <t xml:space="preserve">): </t>
    </r>
    <r>
      <rPr>
        <sz val="8"/>
        <color rgb="FF222222"/>
        <rFont val="Noto Sans CJK SC"/>
        <family val="2"/>
      </rPr>
      <t xml:space="preserve">작업을 잘게 쪼갠 목록 </t>
    </r>
    <r>
      <rPr>
        <sz val="8"/>
        <color rgb="FF222222"/>
        <rFont val="Arial"/>
        <family val="2"/>
        <charset val="1"/>
      </rPr>
      <t xml:space="preserve">/ </t>
    </r>
    <r>
      <rPr>
        <sz val="8"/>
        <color rgb="FF222222"/>
        <rFont val="Noto Sans CJK SC"/>
        <family val="2"/>
      </rPr>
      <t xml:space="preserve">간트차트</t>
    </r>
    <r>
      <rPr>
        <sz val="8"/>
        <color rgb="FF222222"/>
        <rFont val="Arial"/>
        <family val="2"/>
        <charset val="1"/>
      </rPr>
      <t xml:space="preserve">: </t>
    </r>
    <r>
      <rPr>
        <sz val="8"/>
        <color rgb="FF222222"/>
        <rFont val="Noto Sans CJK SC"/>
        <family val="2"/>
      </rPr>
      <t xml:space="preserve">일정을 막대로 표시하는 표</t>
    </r>
    <r>
      <rPr>
        <sz val="8"/>
        <color rgb="FF222222"/>
        <rFont val="Arial"/>
        <family val="2"/>
        <charset val="1"/>
      </rPr>
      <t xml:space="preserve">. 
 - </t>
    </r>
    <r>
      <rPr>
        <sz val="8"/>
        <color rgb="FF222222"/>
        <rFont val="Noto Sans CJK SC"/>
        <family val="2"/>
      </rPr>
      <t xml:space="preserve">실습 편의상 전체 일정을 </t>
    </r>
    <r>
      <rPr>
        <sz val="8"/>
        <color rgb="FF222222"/>
        <rFont val="Arial"/>
        <family val="2"/>
        <charset val="1"/>
      </rPr>
      <t xml:space="preserve">Day1~Day3</t>
    </r>
    <r>
      <rPr>
        <sz val="8"/>
        <color rgb="FF222222"/>
        <rFont val="Noto Sans CJK SC"/>
        <family val="2"/>
      </rPr>
      <t xml:space="preserve">로 단순화
  </t>
    </r>
    <r>
      <rPr>
        <sz val="8"/>
        <color rgb="FF222222"/>
        <rFont val="Arial"/>
        <family val="2"/>
        <charset val="1"/>
      </rPr>
      <t xml:space="preserve">(</t>
    </r>
    <r>
      <rPr>
        <sz val="8"/>
        <color rgb="FF222222"/>
        <rFont val="Noto Sans CJK SC"/>
        <family val="2"/>
      </rPr>
      <t xml:space="preserve">기획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설계</t>
    </r>
    <r>
      <rPr>
        <sz val="8"/>
        <color rgb="FF222222"/>
        <rFont val="Arial"/>
        <family val="2"/>
        <charset val="1"/>
      </rPr>
      <t xml:space="preserve">=Day1, </t>
    </r>
    <r>
      <rPr>
        <sz val="8"/>
        <color rgb="FF222222"/>
        <rFont val="Noto Sans CJK SC"/>
        <family val="2"/>
      </rPr>
      <t xml:space="preserve">개발</t>
    </r>
    <r>
      <rPr>
        <sz val="8"/>
        <color rgb="FF222222"/>
        <rFont val="Arial"/>
        <family val="2"/>
        <charset val="1"/>
      </rPr>
      <t xml:space="preserve">=Day2, </t>
    </r>
    <r>
      <rPr>
        <sz val="8"/>
        <color rgb="FF222222"/>
        <rFont val="Noto Sans CJK SC"/>
        <family val="2"/>
      </rPr>
      <t xml:space="preserve">배포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테스트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문서화</t>
    </r>
    <r>
      <rPr>
        <sz val="8"/>
        <color rgb="FF222222"/>
        <rFont val="Arial"/>
        <family val="2"/>
        <charset val="1"/>
      </rPr>
      <t xml:space="preserve">+</t>
    </r>
    <r>
      <rPr>
        <sz val="8"/>
        <color rgb="FF222222"/>
        <rFont val="Noto Sans CJK SC"/>
        <family val="2"/>
      </rPr>
      <t xml:space="preserve">발표준비</t>
    </r>
    <r>
      <rPr>
        <sz val="8"/>
        <color rgb="FF222222"/>
        <rFont val="Arial"/>
        <family val="2"/>
        <charset val="1"/>
      </rPr>
      <t xml:space="preserve">=Day3)
- </t>
    </r>
    <r>
      <rPr>
        <sz val="8"/>
        <color rgb="FF222222"/>
        <rFont val="Noto Sans CJK SC"/>
        <family val="2"/>
      </rPr>
      <t xml:space="preserve">실제 프로젝트에서는 각 단계를 여러 날로 세분화해 실제 날짜</t>
    </r>
    <r>
      <rPr>
        <sz val="8"/>
        <color rgb="FF222222"/>
        <rFont val="Arial"/>
        <family val="2"/>
        <charset val="1"/>
      </rPr>
      <t xml:space="preserve">(YYYY-MM-DD)</t>
    </r>
    <r>
      <rPr>
        <sz val="8"/>
        <color rgb="FF222222"/>
        <rFont val="Noto Sans CJK SC"/>
        <family val="2"/>
      </rPr>
      <t xml:space="preserve">로 환산하세요</t>
    </r>
    <r>
      <rPr>
        <sz val="8"/>
        <color rgb="FF222222"/>
        <rFont val="Arial"/>
        <family val="2"/>
        <charset val="1"/>
      </rPr>
      <t xml:space="preserve">. </t>
    </r>
    <r>
      <rPr>
        <sz val="8"/>
        <color rgb="FF222222"/>
        <rFont val="Noto Sans CJK SC"/>
        <family val="2"/>
      </rPr>
      <t xml:space="preserve">이 탭은 완성된 예시입니다</t>
    </r>
    <r>
      <rPr>
        <sz val="8"/>
        <color rgb="FF222222"/>
        <rFont val="Arial"/>
        <family val="2"/>
        <charset val="1"/>
      </rPr>
      <t xml:space="preserve">.
- P2</t>
    </r>
    <r>
      <rPr>
        <sz val="8"/>
        <color rgb="FF222222"/>
        <rFont val="Noto Sans CJK SC"/>
        <family val="2"/>
      </rPr>
      <t xml:space="preserve">셀</t>
    </r>
    <r>
      <rPr>
        <sz val="8"/>
        <color rgb="FF222222"/>
        <rFont val="Arial"/>
        <family val="2"/>
        <charset val="1"/>
      </rPr>
      <t xml:space="preserve">(</t>
    </r>
    <r>
      <rPr>
        <sz val="8"/>
        <color rgb="FF222222"/>
        <rFont val="Noto Sans CJK SC"/>
        <family val="2"/>
      </rPr>
      <t xml:space="preserve">노란칸</t>
    </r>
    <r>
      <rPr>
        <sz val="8"/>
        <color rgb="FF222222"/>
        <rFont val="Arial"/>
        <family val="2"/>
        <charset val="1"/>
      </rPr>
      <t xml:space="preserve">)</t>
    </r>
    <r>
      <rPr>
        <sz val="8"/>
        <color rgb="FF222222"/>
        <rFont val="Noto Sans CJK SC"/>
        <family val="2"/>
      </rPr>
      <t xml:space="preserve">에 </t>
    </r>
    <r>
      <rPr>
        <sz val="8"/>
        <color rgb="FF222222"/>
        <rFont val="Arial"/>
        <family val="2"/>
        <charset val="1"/>
      </rPr>
      <t xml:space="preserve">Day1 </t>
    </r>
    <r>
      <rPr>
        <sz val="8"/>
        <color rgb="FF222222"/>
        <rFont val="Noto Sans CJK SC"/>
        <family val="2"/>
      </rPr>
      <t xml:space="preserve">실제 날짜를 넣으면 시작일</t>
    </r>
    <r>
      <rPr>
        <sz val="8"/>
        <color rgb="FF222222"/>
        <rFont val="Arial"/>
        <family val="2"/>
        <charset val="1"/>
      </rPr>
      <t xml:space="preserve">·</t>
    </r>
    <r>
      <rPr>
        <sz val="8"/>
        <color rgb="FF222222"/>
        <rFont val="Noto Sans CJK SC"/>
        <family val="2"/>
      </rPr>
      <t xml:space="preserve">종료일</t>
    </r>
    <r>
      <rPr>
        <sz val="8"/>
        <color rgb="FF222222"/>
        <rFont val="Arial"/>
        <family val="2"/>
        <charset val="1"/>
      </rPr>
      <t xml:space="preserve">(O·P</t>
    </r>
    <r>
      <rPr>
        <sz val="8"/>
        <color rgb="FF222222"/>
        <rFont val="Noto Sans CJK SC"/>
        <family val="2"/>
      </rPr>
      <t xml:space="preserve">열</t>
    </r>
    <r>
      <rPr>
        <sz val="8"/>
        <color rgb="FF222222"/>
        <rFont val="Arial"/>
        <family val="2"/>
        <charset val="1"/>
      </rPr>
      <t xml:space="preserve">)</t>
    </r>
    <r>
      <rPr>
        <sz val="8"/>
        <color rgb="FF222222"/>
        <rFont val="Noto Sans CJK SC"/>
        <family val="2"/>
      </rPr>
      <t xml:space="preserve">이 자동 계산됩니다</t>
    </r>
    <r>
      <rPr>
        <sz val="8"/>
        <color rgb="FF222222"/>
        <rFont val="Arial"/>
        <family val="2"/>
        <charset val="1"/>
      </rPr>
      <t xml:space="preserve">. </t>
    </r>
    <r>
      <rPr>
        <sz val="8"/>
        <color rgb="FF222222"/>
        <rFont val="Noto Sans CJK SC"/>
        <family val="2"/>
      </rPr>
      <t xml:space="preserve">선행작업은 </t>
    </r>
    <r>
      <rPr>
        <sz val="8"/>
        <color rgb="FF222222"/>
        <rFont val="Arial"/>
        <family val="2"/>
        <charset val="1"/>
      </rPr>
      <t xml:space="preserve">No. </t>
    </r>
    <r>
      <rPr>
        <sz val="8"/>
        <color rgb="FF222222"/>
        <rFont val="Noto Sans CJK SC"/>
        <family val="2"/>
      </rPr>
      <t xml:space="preserve">기준입니다</t>
    </r>
    <r>
      <rPr>
        <sz val="8"/>
        <color rgb="FF222222"/>
        <rFont val="Arial"/>
        <family val="2"/>
        <charset val="1"/>
      </rPr>
      <t xml:space="preserve">.</t>
    </r>
  </si>
  <si>
    <t xml:space="preserve">No</t>
  </si>
  <si>
    <t xml:space="preserve">대분류</t>
  </si>
  <si>
    <t xml:space="preserve">작업명</t>
  </si>
  <si>
    <t xml:space="preserve">담당</t>
  </si>
  <si>
    <t xml:space="preserve">시작
(Day)</t>
  </si>
  <si>
    <t xml:space="preserve">종료
(Day)</t>
  </si>
  <si>
    <t xml:space="preserve">소요일</t>
  </si>
  <si>
    <t xml:space="preserve">진행률(%)</t>
  </si>
  <si>
    <t xml:space="preserve">상태</t>
  </si>
  <si>
    <t xml:space="preserve">선행작업</t>
  </si>
  <si>
    <t xml:space="preserve">시작일</t>
  </si>
  <si>
    <t xml:space="preserve">종료일</t>
  </si>
  <si>
    <t xml:space="preserve">기획</t>
  </si>
  <si>
    <t xml:space="preserve">요구사항 분석 및 제약사항 확정(MoSCoW)</t>
  </si>
  <si>
    <t xml:space="preserve">팀전체</t>
  </si>
  <si>
    <t xml:space="preserve">예정</t>
  </si>
  <si>
    <t xml:space="preserve">권역(서울/경기) 선정 및 MVP 범위 확정</t>
  </si>
  <si>
    <t xml:space="preserve">No.1</t>
  </si>
  <si>
    <t xml:space="preserve">설계</t>
  </si>
  <si>
    <t xml:space="preserve">DB 스키마 설계 (게시글·태그·좋아요·조회수, SQLite)</t>
  </si>
  <si>
    <t xml:space="preserve">BE</t>
  </si>
  <si>
    <t xml:space="preserve">No.2</t>
  </si>
  <si>
    <t xml:space="preserve">API 명세서 및 화면 와이어프레임 작성</t>
  </si>
  <si>
    <t xml:space="preserve">개발</t>
  </si>
  <si>
    <t xml:space="preserve">BE 게시판 CRUD API (FastAPI + SQLAlchemy)</t>
  </si>
  <si>
    <t xml:space="preserve">No.3, No.4</t>
  </si>
  <si>
    <t xml:space="preserve">BE 챗봇 API (POST /api/chat, 제공 JSON 기반)</t>
  </si>
  <si>
    <t xml:space="preserve">FE 기본 레이아웃·라우팅·공통 컴포넌트</t>
  </si>
  <si>
    <t xml:space="preserve">FE</t>
  </si>
  <si>
    <t xml:space="preserve">No.4</t>
  </si>
  <si>
    <t xml:space="preserve">FE 게시판 화면 및 API 연동</t>
  </si>
  <si>
    <t xml:space="preserve">No.5, No.7</t>
  </si>
  <si>
    <t xml:space="preserve">FE 챗봇 UI 위젯 (대화 히스토리 유지)</t>
  </si>
  <si>
    <t xml:space="preserve">No.6, No.7</t>
  </si>
  <si>
    <t xml:space="preserve">선택기능: 게시판 추가기능(검색·조회수·좋아요·태그) 구현</t>
  </si>
  <si>
    <t xml:space="preserve">FE/BE</t>
  </si>
  <si>
    <t xml:space="preserve">No.5, No.8</t>
  </si>
  <si>
    <t xml:space="preserve">배포</t>
  </si>
  <si>
    <t xml:space="preserve">Netlify/Render 배포 설정 및 .env 구성</t>
  </si>
  <si>
    <t xml:space="preserve">No.8, No.9, No.10</t>
  </si>
  <si>
    <t xml:space="preserve">테스트</t>
  </si>
  <si>
    <t xml:space="preserve">통합 테스트 및 버그 수정 (배포 URL 기준)</t>
  </si>
  <si>
    <t xml:space="preserve">No.11</t>
  </si>
  <si>
    <t xml:space="preserve">문서화</t>
  </si>
  <si>
    <t xml:space="preserve">기능명세서·데이터 출처/라이선스 정리</t>
  </si>
  <si>
    <t xml:space="preserve">발표준비</t>
  </si>
  <si>
    <t xml:space="preserve">발표 자료 제작 및 리허설</t>
  </si>
  <si>
    <t xml:space="preserve">No.12, No.13</t>
  </si>
  <si>
    <t xml:space="preserve">대분류 (범례)</t>
  </si>
  <si>
    <t xml:space="preserve">진행기간</t>
  </si>
  <si>
    <t xml:space="preserve">쉬운 용어 사전</t>
  </si>
  <si>
    <t xml:space="preserve">낯선 단어가 나올 때마다 이 탭에서 찾아보세요. 본문에도 처음 나오는 곳에 괄호로 짧게 설명을 붙여두었습니다.</t>
  </si>
  <si>
    <t xml:space="preserve">용어</t>
  </si>
  <si>
    <t xml:space="preserve">쉬운 설명</t>
  </si>
  <si>
    <t xml:space="preserve">RFP (Request for Proposal)</t>
  </si>
  <si>
    <t xml:space="preserve">고객사가 '이런 서비스를 만들어주세요'라고 보내는 공식 개발 의뢰 문서</t>
  </si>
  <si>
    <t xml:space="preserve">MVP (Minimum Viable Product)</t>
  </si>
  <si>
    <t xml:space="preserve">핵심 기능만 담아 가장 빠르게 완성하는 최소 버전의 제품</t>
  </si>
  <si>
    <t xml:space="preserve">WBS (Work Breakdown Structure)</t>
  </si>
  <si>
    <t xml:space="preserve">전체 작업을 실행 가능한 작은 단위로 쪼갠 목록</t>
  </si>
  <si>
    <t xml:space="preserve">간트차트 (Gantt Chart)</t>
  </si>
  <si>
    <t xml:space="preserve">작업별 일정을 막대로 표시해 한눈에 보는 일정표</t>
  </si>
  <si>
    <t xml:space="preserve">MoSCoW</t>
  </si>
  <si>
    <t xml:space="preserve">요구사항을 Must(필수).Should(중요).Could(선택).Won't(제외)로 나누는 우선순위 분류법</t>
  </si>
  <si>
    <t xml:space="preserve">CRUD</t>
  </si>
  <si>
    <t xml:space="preserve">데이터를 새로 만들고(Create).조회하고(Read).수정하고(Update).삭제하는(Delete) 4가지 기본 기능</t>
  </si>
  <si>
    <t xml:space="preserve">API (Application Programming Interface)</t>
  </si>
  <si>
    <t xml:space="preserve">서로 다른 프로그램이 데이터를 주고받을 수 있게 해주는 규칙과 통로</t>
  </si>
  <si>
    <t xml:space="preserve">프론트엔드(FE) / 백엔드(BE)</t>
  </si>
  <si>
    <t xml:space="preserve">프론트엔드는 사용자가 보는 화면, 백엔드는 화면 뒤에서 데이터를 처리하는 서버 부분</t>
  </si>
  <si>
    <t xml:space="preserve">SPA (Single Page Application)</t>
  </si>
  <si>
    <t xml:space="preserve">페이지 전체를 새로고침하지 않고 필요한 부분만 바뀌는 웹사이트 방식</t>
  </si>
  <si>
    <t xml:space="preserve">챗봇 (Chatbot)</t>
  </si>
  <si>
    <t xml:space="preserve">사람과 대화하듯 자동으로 질문에 답해주는 프로그램</t>
  </si>
  <si>
    <t xml:space="preserve">배포 (Deployment)</t>
  </si>
  <si>
    <t xml:space="preserve">완성한 프로그램을 인터넷에서 실제로 접속할 수 있게 서버에 올리는 작업 (Netlify.Render는 이를 무료로 도와주는 서비스)</t>
  </si>
  <si>
    <r>
      <rPr>
        <b val="true"/>
        <sz val="10"/>
        <color rgb="FF222222"/>
        <rFont val="Arial"/>
        <family val="2"/>
        <charset val="1"/>
      </rPr>
      <t xml:space="preserve">.env (</t>
    </r>
    <r>
      <rPr>
        <b val="true"/>
        <sz val="10"/>
        <color rgb="FF222222"/>
        <rFont val="Noto Sans CJK SC"/>
        <family val="2"/>
      </rPr>
      <t xml:space="preserve">환경변수 파일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</si>
  <si>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비밀번호.API 키처럼 남에게 노출되면 안 되는 정보를 코드와 분리해서 저장하는 파일</t>
  </si>
  <si>
    <t xml:space="preserve">공공누리</t>
  </si>
  <si>
    <t xml:space="preserve">공공기관이 만든 데이터를 누가 어떻게 써도 되는지 정부가 정해둔 이용 허락 표시 (1~4유형)</t>
  </si>
  <si>
    <t xml:space="preserve">스코프 크립 (Scope Creep)</t>
  </si>
  <si>
    <t xml:space="preserve">처음 정한 작업 범위를 넘어 요구사항이 계속 늘어나는 현상</t>
  </si>
  <si>
    <t xml:space="preserve">조건부 서식</t>
  </si>
  <si>
    <t xml:space="preserve">엑셀에서 특정 조건을 만족하면 셀 색이 자동으로 바뀌는 기능 (이 워크북의 간트차트에 사용됨)</t>
  </si>
  <si>
    <t xml:space="preserve">프롬프트 (Prompt)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</si>
  <si>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 xml:space="preserve">같은 </t>
    </r>
    <r>
      <rPr>
        <sz val="10"/>
        <color rgb="FF222222"/>
        <rFont val="Arial"/>
        <family val="2"/>
        <charset val="1"/>
      </rPr>
      <t xml:space="preserve">AI</t>
    </r>
    <r>
      <rPr>
        <sz val="10"/>
        <color rgb="FF222222"/>
        <rFont val="Noto Sans CJK SC"/>
        <family val="2"/>
      </rPr>
      <t xml:space="preserve">에게 입력하는 질문이나 지시문</t>
    </r>
  </si>
  <si>
    <t xml:space="preserve">실현가능성 / 임팩트</t>
  </si>
  <si>
    <t xml:space="preserve">실현가능성은 우리 팀이 얼마나 쉽게 만들 수 있는가, 임팩트는 사용자에게 얼마나 도움이 되는가를 뜻함</t>
  </si>
  <si>
    <t xml:space="preserve">Vue.js / FastAPI / SQLite</t>
  </si>
  <si>
    <t xml:space="preserve">각각 화면(Vue.js).서버(FastAPI).데이터저장(SQLite)을 만들 때 쓰는 무료 개발 도구</t>
  </si>
  <si>
    <r>
      <rPr>
        <b val="true"/>
        <sz val="10"/>
        <color rgb="FF222222"/>
        <rFont val="Arial"/>
        <family val="2"/>
        <charset val="1"/>
      </rPr>
      <t xml:space="preserve">i18n (</t>
    </r>
    <r>
      <rPr>
        <b val="true"/>
        <sz val="10"/>
        <color rgb="FF222222"/>
        <rFont val="Noto Sans CJK SC"/>
        <family val="2"/>
      </rPr>
      <t xml:space="preserve">국제화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</si>
  <si>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하나의 서비스에서 여러 나라 언어를 지원하도록 만드는 기술</t>
  </si>
  <si>
    <t xml:space="preserve">WebSocket</t>
  </si>
  <si>
    <t xml:space="preserve">새로고침 없이 실시간으로 데이터를 주고받는 통신 방식</t>
  </si>
  <si>
    <r>
      <rPr>
        <b val="true"/>
        <sz val="10"/>
        <color rgb="FF222222"/>
        <rFont val="Noto Sans CJK SC"/>
        <family val="2"/>
      </rPr>
      <t xml:space="preserve">조회수 </t>
    </r>
    <r>
      <rPr>
        <b val="true"/>
        <sz val="10"/>
        <color rgb="FF222222"/>
        <rFont val="Arial"/>
        <family val="2"/>
        <charset val="1"/>
      </rPr>
      <t xml:space="preserve">(View Count)</t>
    </r>
  </si>
  <si>
    <t xml:space="preserve">게시글 상세를 열 때마다 1씩 늘어나는 열람 횟수. 새로고침마다 오르지 않도록 중복 집계 기준(세션·시간 간격)을 미리 정해야 함</t>
  </si>
  <si>
    <r>
      <rPr>
        <b val="true"/>
        <sz val="10"/>
        <color rgb="FF222222"/>
        <rFont val="Noto Sans CJK SC"/>
        <family val="2"/>
      </rPr>
      <t xml:space="preserve">게시글 검색 </t>
    </r>
    <r>
      <rPr>
        <b val="true"/>
        <sz val="10"/>
        <color rgb="FF222222"/>
        <rFont val="Arial"/>
        <family val="2"/>
        <charset val="1"/>
      </rPr>
      <t xml:space="preserve">(LIKE </t>
    </r>
    <r>
      <rPr>
        <b val="true"/>
        <sz val="10"/>
        <color rgb="FF222222"/>
        <rFont val="Noto Sans CJK SC"/>
        <family val="2"/>
      </rPr>
      <t xml:space="preserve">검색</t>
    </r>
    <r>
      <rPr>
        <b val="true"/>
        <sz val="10"/>
        <color rgb="FF222222"/>
        <rFont val="Arial"/>
        <family val="2"/>
        <charset val="1"/>
      </rPr>
      <t xml:space="preserve">)</t>
    </r>
  </si>
  <si>
    <t xml:space="preserve">SQL의 LIKE 구문으로 제목·내용에 키워드가 들어간 글을 찾는 방식. SQLite 기본 기능이라 별도 검색엔진이 필요 없음</t>
  </si>
  <si>
    <r>
      <rPr>
        <b val="true"/>
        <sz val="10"/>
        <color rgb="FF222222"/>
        <rFont val="Noto Sans CJK SC"/>
        <family val="2"/>
      </rPr>
      <t xml:space="preserve">좋아요 </t>
    </r>
    <r>
      <rPr>
        <b val="true"/>
        <sz val="10"/>
        <color rgb="FF222222"/>
        <rFont val="Arial"/>
        <family val="2"/>
        <charset val="1"/>
      </rPr>
      <t xml:space="preserve">(Like)</t>
    </r>
  </si>
  <si>
    <t xml:space="preserve">게시글에 공감을 표시하는 기능. 로그인이 없으므로 브라우저 저장소(localStorage) 등으로 중복 클릭을 제한</t>
  </si>
  <si>
    <r>
      <rPr>
        <b val="true"/>
        <sz val="10"/>
        <color rgb="FF222222"/>
        <rFont val="Noto Sans CJK SC"/>
        <family val="2"/>
      </rPr>
      <t xml:space="preserve">태그 </t>
    </r>
    <r>
      <rPr>
        <b val="true"/>
        <sz val="10"/>
        <color rgb="FF222222"/>
        <rFont val="Arial"/>
        <family val="2"/>
        <charset val="1"/>
      </rPr>
      <t xml:space="preserve">(Tag)</t>
    </r>
  </si>
  <si>
    <t xml:space="preserve">게시글에 붙이는 키워드 라벨. 게시글과 태그는 다대다(N:M) 관계로 설계하며, 태그별 목록 필터에 활용</t>
  </si>
  <si>
    <r>
      <rPr>
        <b val="true"/>
        <sz val="10"/>
        <color rgb="FF222222"/>
        <rFont val="Noto Sans CJK SC"/>
        <family val="2"/>
      </rPr>
      <t xml:space="preserve">북마크 </t>
    </r>
    <r>
      <rPr>
        <b val="true"/>
        <sz val="10"/>
        <color rgb="FF222222"/>
        <rFont val="Arial"/>
        <family val="2"/>
        <charset val="1"/>
      </rPr>
      <t xml:space="preserve">(Bookmark)</t>
    </r>
  </si>
  <si>
    <t xml:space="preserve">나중에 다시 보려고 게시글을 따로 저장해두는 기능. 익명 서비스이므로 브라우저 저장소 기준으로 처리</t>
  </si>
  <si>
    <r>
      <rPr>
        <b val="true"/>
        <sz val="10"/>
        <color rgb="FF222222"/>
        <rFont val="Noto Sans CJK SC"/>
        <family val="2"/>
      </rPr>
      <t xml:space="preserve">이미지 첨부 </t>
    </r>
    <r>
      <rPr>
        <b val="true"/>
        <sz val="10"/>
        <color rgb="FF222222"/>
        <rFont val="Arial"/>
        <family val="2"/>
        <charset val="1"/>
      </rPr>
      <t xml:space="preserve">(multipart/form-data)</t>
    </r>
  </si>
  <si>
    <t xml:space="preserve">파일을 서버로 올릴 때 쓰는 전송 형식. FastAPI의 UploadFile로 처리하며 용량·확장자 제한을 반드시 둘 것</t>
  </si>
  <si>
    <t xml:space="preserve">Leaflet / OpenStreetMap</t>
  </si>
  <si>
    <t xml:space="preserve">무료 지도 라이브러리와 공개 지도 데이터. API 키 없이 지도를 띄울 수 있고 출처 표기가 조건 (예비후보 기능용)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</si>
</sst>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\-mm\-dd"/>
    <numFmt numFmtId="167" formatCode="&quot;Day &quot;0"/>
    <numFmt numFmtId="168" formatCode="mm/dd\(AAA\)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  <charset val="1"/>
    </font>
    <font>
      <b val="true"/>
      <sz val="18"/>
      <color rgb="FFFFFFFF"/>
      <name val="Noto Sans CJK SC"/>
      <family val="2"/>
    </font>
    <font>
      <b val="true"/>
      <sz val="10"/>
      <color rgb="FF222222"/>
      <name val="Noto Sans CJK SC"/>
      <family val="3"/>
      <charset val="129"/>
    </font>
    <font>
      <sz val="10"/>
      <color rgb="FF222222"/>
      <name val="Noto Sans CJK SC"/>
      <family val="3"/>
      <charset val="129"/>
    </font>
    <font>
      <b val="true"/>
      <sz val="10"/>
      <color rgb="FF222222"/>
      <name val="Noto Sans CJK SC"/>
      <family val="2"/>
      <charset val="1"/>
    </font>
    <font>
      <sz val="10"/>
      <color rgb="FF222222"/>
      <name val="Arial"/>
      <family val="2"/>
      <charset val="1"/>
    </font>
    <font>
      <sz val="10"/>
      <color rgb="FF222222"/>
      <name val="Noto Sans CJK SC"/>
      <family val="2"/>
    </font>
    <font>
      <b val="true"/>
      <sz val="10"/>
      <color rgb="FF222222"/>
      <name val="Arial"/>
      <family val="2"/>
      <charset val="1"/>
    </font>
    <font>
      <b val="true"/>
      <sz val="10"/>
      <color rgb="FF222222"/>
      <name val="Noto Sans CJK SC"/>
      <family val="2"/>
    </font>
    <font>
      <sz val="10"/>
      <color rgb="FF222222"/>
      <name val="Noto Sans CJK SC"/>
      <family val="2"/>
      <charset val="1"/>
    </font>
    <font>
      <b val="true"/>
      <sz val="16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theme="1"/>
      <name val="Noto Sans CJK SC"/>
      <family val="2"/>
      <charset val="1"/>
    </font>
    <font>
      <b val="true"/>
      <sz val="10"/>
      <color rgb="FF222222"/>
      <name val="Arial"/>
      <family val="1"/>
      <charset val="1"/>
    </font>
    <font>
      <b val="true"/>
      <sz val="16"/>
      <color rgb="FFFFFFFF"/>
      <name val="Arial"/>
      <family val="2"/>
      <charset val="1"/>
    </font>
    <font>
      <b val="true"/>
      <sz val="16"/>
      <color rgb="FFFFFFFF"/>
      <name val="Noto Sans CJK SC"/>
      <family val="2"/>
    </font>
    <font>
      <sz val="11"/>
      <color rgb="FF222222"/>
      <name val="Arial"/>
      <family val="2"/>
      <charset val="1"/>
    </font>
    <font>
      <sz val="11"/>
      <color rgb="FF222222"/>
      <name val="Noto Sans CJK SC"/>
      <family val="2"/>
    </font>
    <font>
      <sz val="9"/>
      <color rgb="FF222222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name val="Noto Sans CJK SC"/>
      <family val="2"/>
      <charset val="1"/>
    </font>
    <font>
      <b val="true"/>
      <sz val="9"/>
      <color rgb="FF222222"/>
      <name val="Noto Sans CJK SC"/>
      <family val="2"/>
      <charset val="1"/>
    </font>
    <font>
      <sz val="10"/>
      <name val="Noto Sans CJK SC"/>
      <family val="2"/>
    </font>
    <font>
      <sz val="10"/>
      <name val="Arial"/>
      <family val="2"/>
    </font>
    <font>
      <sz val="9"/>
      <color rgb="FF222222"/>
      <name val="Arial"/>
      <family val="2"/>
      <charset val="1"/>
    </font>
    <font>
      <sz val="9"/>
      <color rgb="FF222222"/>
      <name val="Noto Sans CJK SC"/>
      <family val="2"/>
    </font>
    <font>
      <b val="true"/>
      <sz val="15"/>
      <color rgb="FFFFFFFF"/>
      <name val="Arial"/>
      <family val="2"/>
      <charset val="1"/>
    </font>
    <font>
      <b val="true"/>
      <sz val="15"/>
      <color rgb="FFFFFFFF"/>
      <name val="Noto Sans CJK SC"/>
      <family val="2"/>
    </font>
    <font>
      <b val="true"/>
      <sz val="10"/>
      <name val="Noto Sans CJK SC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222222"/>
      <name val="Arial"/>
      <family val="2"/>
      <charset val="1"/>
    </font>
    <font>
      <sz val="8"/>
      <color rgb="FF222222"/>
      <name val="Noto Sans CJK SC"/>
      <family val="2"/>
    </font>
    <font>
      <b val="true"/>
      <sz val="9"/>
      <color rgb="FFFFFFFF"/>
      <name val="Arial"/>
      <family val="2"/>
      <charset val="1"/>
    </font>
    <font>
      <b val="true"/>
      <sz val="9"/>
      <color rgb="FF222222"/>
      <name val="Noto Sans CJK SC"/>
      <family val="3"/>
      <charset val="129"/>
    </font>
    <font>
      <b val="true"/>
      <sz val="8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FFF00"/>
        <bgColor rgb="FFFFC000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02809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9E4B7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79.16"/>
    <col collapsed="false" customWidth="true" hidden="false" outlineLevel="0" max="8" min="4" style="1" width="4"/>
  </cols>
  <sheetData>
    <row r="2" customFormat="false" ht="31.5" hidden="false" customHeight="true" outlineLevel="0" collapsed="false">
      <c r="B2" s="2" t="s">
        <v>0</v>
      </c>
      <c r="C2" s="2"/>
    </row>
    <row r="4" customFormat="false" ht="19.5" hidden="false" customHeight="true" outlineLevel="0" collapsed="false">
      <c r="B4" s="3" t="s">
        <v>1</v>
      </c>
      <c r="C4" s="4" t="s">
        <v>2</v>
      </c>
    </row>
    <row r="5" customFormat="false" ht="36.75" hidden="false" customHeight="true" outlineLevel="0" collapsed="false">
      <c r="B5" s="5" t="s">
        <v>3</v>
      </c>
      <c r="C5" s="4" t="s">
        <v>4</v>
      </c>
    </row>
    <row r="6" customFormat="false" ht="19.5" hidden="false" customHeight="true" outlineLevel="0" collapsed="false">
      <c r="B6" s="5" t="s">
        <v>5</v>
      </c>
      <c r="C6" s="6" t="s">
        <v>6</v>
      </c>
    </row>
    <row r="7" customFormat="false" ht="19.5" hidden="false" customHeight="true" outlineLevel="0" collapsed="false">
      <c r="B7" s="5" t="s">
        <v>7</v>
      </c>
      <c r="C7" s="6" t="s">
        <v>8</v>
      </c>
    </row>
    <row r="9" customFormat="false" ht="15" hidden="false" customHeight="true" outlineLevel="0" collapsed="false">
      <c r="B9" s="7" t="s">
        <v>9</v>
      </c>
      <c r="C9" s="7"/>
    </row>
    <row r="10" customFormat="false" ht="27" hidden="false" customHeight="true" outlineLevel="0" collapsed="false">
      <c r="B10" s="8" t="s">
        <v>10</v>
      </c>
      <c r="C10" s="4" t="s">
        <v>11</v>
      </c>
    </row>
    <row r="11" customFormat="false" ht="40.5" hidden="false" customHeight="true" outlineLevel="0" collapsed="false">
      <c r="B11" s="8" t="s">
        <v>12</v>
      </c>
      <c r="C11" s="4" t="s">
        <v>13</v>
      </c>
    </row>
    <row r="12" customFormat="false" ht="33.75" hidden="false" customHeight="true" outlineLevel="0" collapsed="false">
      <c r="B12" s="8" t="s">
        <v>14</v>
      </c>
      <c r="C12" s="9" t="s">
        <v>15</v>
      </c>
    </row>
    <row r="13" customFormat="false" ht="33.75" hidden="false" customHeight="true" outlineLevel="0" collapsed="false">
      <c r="B13" s="8" t="s">
        <v>16</v>
      </c>
      <c r="C13" s="6" t="s">
        <v>17</v>
      </c>
    </row>
    <row r="14" customFormat="false" ht="33.75" hidden="false" customHeight="true" outlineLevel="0" collapsed="false">
      <c r="B14" s="8" t="s">
        <v>18</v>
      </c>
      <c r="C14" s="9" t="s">
        <v>19</v>
      </c>
    </row>
    <row r="15" customFormat="false" ht="33.75" hidden="false" customHeight="true" outlineLevel="0" collapsed="false">
      <c r="B15" s="8" t="s">
        <v>20</v>
      </c>
      <c r="C15" s="4" t="s">
        <v>21</v>
      </c>
    </row>
    <row r="17" customFormat="false" ht="15" hidden="false" customHeight="true" outlineLevel="0" collapsed="false">
      <c r="B17" s="10" t="s">
        <v>22</v>
      </c>
      <c r="C17" s="10"/>
    </row>
    <row r="18" customFormat="false" ht="27.75" hidden="false" customHeight="true" outlineLevel="0" collapsed="false">
      <c r="B18" s="6" t="s">
        <v>23</v>
      </c>
      <c r="C18" s="6"/>
    </row>
    <row r="19" customFormat="false" ht="27.75" hidden="false" customHeight="true" outlineLevel="0" collapsed="false">
      <c r="B19" s="9" t="s">
        <v>24</v>
      </c>
      <c r="C19" s="9"/>
    </row>
    <row r="20" customFormat="false" ht="27.75" hidden="false" customHeight="true" outlineLevel="0" collapsed="false">
      <c r="B20" s="9" t="s">
        <v>25</v>
      </c>
      <c r="C20" s="9"/>
    </row>
    <row r="21" customFormat="false" ht="27.75" hidden="false" customHeight="true" outlineLevel="0" collapsed="false"/>
  </sheetData>
  <mergeCells count="6">
    <mergeCell ref="B2:C2"/>
    <mergeCell ref="B9:C9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B2:J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9"/>
    <col collapsed="false" customWidth="true" hidden="false" outlineLevel="0" max="3" min="3" style="1" width="24.71"/>
    <col collapsed="false" customWidth="true" hidden="false" outlineLevel="0" max="4" min="4" style="1" width="74.42"/>
    <col collapsed="false" customWidth="true" hidden="false" outlineLevel="0" max="6" min="5" style="1" width="30"/>
  </cols>
  <sheetData>
    <row r="2" customFormat="false" ht="30" hidden="false" customHeight="true" outlineLevel="0" collapsed="false">
      <c r="B2" s="11" t="s">
        <v>26</v>
      </c>
      <c r="C2" s="11"/>
      <c r="D2" s="11"/>
      <c r="E2" s="11"/>
      <c r="F2" s="11"/>
    </row>
    <row r="4" customFormat="false" ht="19.5" hidden="false" customHeight="true" outlineLevel="0" collapsed="false">
      <c r="B4" s="12" t="s">
        <v>27</v>
      </c>
      <c r="C4" s="12" t="s">
        <v>28</v>
      </c>
      <c r="D4" s="12" t="s">
        <v>29</v>
      </c>
      <c r="E4" s="12" t="s">
        <v>30</v>
      </c>
      <c r="F4" s="13" t="s">
        <v>31</v>
      </c>
    </row>
    <row r="5" customFormat="false" ht="129.75" hidden="false" customHeight="true" outlineLevel="0" collapsed="false">
      <c r="B5" s="14" t="s">
        <v>32</v>
      </c>
      <c r="C5" s="15" t="s">
        <v>33</v>
      </c>
      <c r="D5" s="4" t="s">
        <v>34</v>
      </c>
      <c r="E5" s="16" t="s">
        <v>35</v>
      </c>
      <c r="F5" s="15" t="s">
        <v>36</v>
      </c>
    </row>
    <row r="6" customFormat="false" ht="129.75" hidden="false" customHeight="true" outlineLevel="0" collapsed="false">
      <c r="B6" s="14" t="s">
        <v>37</v>
      </c>
      <c r="C6" s="15" t="s">
        <v>38</v>
      </c>
      <c r="D6" s="4" t="s">
        <v>39</v>
      </c>
      <c r="E6" s="15" t="s">
        <v>40</v>
      </c>
      <c r="F6" s="15" t="s">
        <v>41</v>
      </c>
    </row>
    <row r="7" customFormat="false" ht="129.75" hidden="false" customHeight="true" outlineLevel="0" collapsed="false">
      <c r="B7" s="17" t="s">
        <v>42</v>
      </c>
      <c r="C7" s="18" t="s">
        <v>43</v>
      </c>
      <c r="D7" s="9" t="s">
        <v>44</v>
      </c>
      <c r="E7" s="18" t="s">
        <v>45</v>
      </c>
      <c r="F7" s="18" t="s">
        <v>46</v>
      </c>
      <c r="J7" s="19" t="s">
        <v>47</v>
      </c>
    </row>
    <row r="8" customFormat="false" ht="129.75" hidden="false" customHeight="true" outlineLevel="0" collapsed="false">
      <c r="B8" s="20" t="s">
        <v>48</v>
      </c>
      <c r="C8" s="18" t="s">
        <v>49</v>
      </c>
      <c r="D8" s="4" t="s">
        <v>50</v>
      </c>
      <c r="E8" s="15" t="s">
        <v>51</v>
      </c>
      <c r="F8" s="18" t="s">
        <v>52</v>
      </c>
    </row>
    <row r="9" customFormat="false" ht="13.5" hidden="false" customHeight="true" outlineLevel="0" collapsed="false"/>
    <row r="10" customFormat="false" ht="15" hidden="false" customHeight="true" outlineLevel="0" collapsed="false">
      <c r="B10" s="21" t="s">
        <v>53</v>
      </c>
      <c r="C10" s="21"/>
      <c r="D10" s="21"/>
      <c r="E10" s="21"/>
      <c r="F10" s="21"/>
    </row>
    <row r="11" customFormat="false" ht="24" hidden="false" customHeight="true" outlineLevel="0" collapsed="false">
      <c r="B11" s="18" t="s">
        <v>54</v>
      </c>
      <c r="C11" s="22" t="s">
        <v>55</v>
      </c>
      <c r="D11" s="22"/>
      <c r="E11" s="22"/>
      <c r="F11" s="22"/>
    </row>
    <row r="12" customFormat="false" ht="24" hidden="false" customHeight="true" outlineLevel="0" collapsed="false">
      <c r="B12" s="18" t="s">
        <v>54</v>
      </c>
      <c r="C12" s="22" t="s">
        <v>56</v>
      </c>
      <c r="D12" s="22"/>
      <c r="E12" s="22"/>
      <c r="F12" s="22"/>
    </row>
    <row r="13" customFormat="false" ht="24" hidden="false" customHeight="true" outlineLevel="0" collapsed="false">
      <c r="B13" s="18" t="s">
        <v>54</v>
      </c>
      <c r="C13" s="22" t="s">
        <v>57</v>
      </c>
      <c r="D13" s="22"/>
      <c r="E13" s="22"/>
      <c r="F13" s="22"/>
    </row>
  </sheetData>
  <mergeCells count="5">
    <mergeCell ref="B2:F2"/>
    <mergeCell ref="B10:F10"/>
    <mergeCell ref="C11:F11"/>
    <mergeCell ref="C12:F12"/>
    <mergeCell ref="C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46"/>
    <col collapsed="false" customWidth="true" hidden="false" outlineLevel="0" max="5" min="5" style="1" width="20"/>
    <col collapsed="false" customWidth="true" hidden="false" outlineLevel="0" max="6" min="6" style="1" width="24"/>
  </cols>
  <sheetData>
    <row r="2" customFormat="false" ht="30" hidden="false" customHeight="true" outlineLevel="0" collapsed="false">
      <c r="B2" s="23" t="s">
        <v>58</v>
      </c>
      <c r="C2" s="23"/>
      <c r="D2" s="23"/>
      <c r="E2" s="23"/>
      <c r="F2" s="23"/>
    </row>
    <row r="3" customFormat="false" ht="27.75" hidden="false" customHeight="true" outlineLevel="0" collapsed="false">
      <c r="B3" s="24" t="s">
        <v>59</v>
      </c>
      <c r="C3" s="24"/>
      <c r="D3" s="24"/>
      <c r="E3" s="24"/>
      <c r="F3" s="24"/>
    </row>
    <row r="4" customFormat="false" ht="35.25" hidden="false" customHeight="true" outlineLevel="0" collapsed="false">
      <c r="B4" s="25" t="s">
        <v>60</v>
      </c>
      <c r="C4" s="25" t="s">
        <v>61</v>
      </c>
      <c r="D4" s="25" t="s">
        <v>62</v>
      </c>
      <c r="E4" s="26" t="s">
        <v>63</v>
      </c>
      <c r="F4" s="25" t="s">
        <v>64</v>
      </c>
    </row>
    <row r="5" customFormat="false" ht="15" hidden="false" customHeight="true" outlineLevel="0" collapsed="false">
      <c r="B5" s="27" t="s">
        <v>65</v>
      </c>
      <c r="C5" s="27"/>
      <c r="D5" s="27"/>
      <c r="E5" s="27"/>
      <c r="F5" s="27"/>
    </row>
    <row r="6" customFormat="false" ht="30" hidden="false" customHeight="true" outlineLevel="0" collapsed="false">
      <c r="B6" s="6" t="s">
        <v>66</v>
      </c>
      <c r="C6" s="9" t="s">
        <v>67</v>
      </c>
      <c r="D6" s="9" t="s">
        <v>68</v>
      </c>
      <c r="E6" s="9" t="s">
        <v>69</v>
      </c>
      <c r="F6" s="9" t="s">
        <v>70</v>
      </c>
    </row>
    <row r="7" customFormat="false" ht="30" hidden="false" customHeight="true" outlineLevel="0" collapsed="false">
      <c r="B7" s="6" t="s">
        <v>66</v>
      </c>
      <c r="C7" s="9" t="s">
        <v>71</v>
      </c>
      <c r="D7" s="9" t="s">
        <v>72</v>
      </c>
      <c r="E7" s="9" t="s">
        <v>73</v>
      </c>
      <c r="F7" s="9" t="s">
        <v>74</v>
      </c>
    </row>
    <row r="8" customFormat="false" ht="30" hidden="false" customHeight="true" outlineLevel="0" collapsed="false">
      <c r="B8" s="6" t="s">
        <v>66</v>
      </c>
      <c r="C8" s="9" t="s">
        <v>75</v>
      </c>
      <c r="D8" s="9" t="s">
        <v>76</v>
      </c>
      <c r="E8" s="9" t="s">
        <v>77</v>
      </c>
      <c r="F8" s="9" t="s">
        <v>78</v>
      </c>
    </row>
    <row r="9" customFormat="false" ht="30" hidden="false" customHeight="true" outlineLevel="0" collapsed="false">
      <c r="B9" s="6" t="s">
        <v>66</v>
      </c>
      <c r="C9" s="9" t="s">
        <v>79</v>
      </c>
      <c r="D9" s="9" t="s">
        <v>80</v>
      </c>
      <c r="E9" s="9" t="s">
        <v>81</v>
      </c>
      <c r="F9" s="9" t="s">
        <v>82</v>
      </c>
    </row>
    <row r="10" customFormat="false" ht="30" hidden="false" customHeight="true" outlineLevel="0" collapsed="false">
      <c r="B10" s="6" t="s">
        <v>66</v>
      </c>
      <c r="C10" s="9" t="s">
        <v>83</v>
      </c>
      <c r="D10" s="9" t="s">
        <v>84</v>
      </c>
      <c r="E10" s="9" t="s">
        <v>85</v>
      </c>
      <c r="F10" s="9" t="s">
        <v>86</v>
      </c>
    </row>
    <row r="11" customFormat="false" ht="30" hidden="false" customHeight="true" outlineLevel="0" collapsed="false">
      <c r="B11" s="6" t="s">
        <v>66</v>
      </c>
      <c r="C11" s="9" t="s">
        <v>87</v>
      </c>
      <c r="D11" s="9" t="s">
        <v>88</v>
      </c>
      <c r="E11" s="9" t="s">
        <v>89</v>
      </c>
      <c r="F11" s="9" t="s">
        <v>90</v>
      </c>
    </row>
    <row r="12" customFormat="false" ht="30" hidden="false" customHeight="true" outlineLevel="0" collapsed="false">
      <c r="B12" s="9" t="s">
        <v>91</v>
      </c>
      <c r="C12" s="9" t="s">
        <v>92</v>
      </c>
      <c r="D12" s="9" t="s">
        <v>93</v>
      </c>
      <c r="E12" s="9" t="s">
        <v>94</v>
      </c>
      <c r="F12" s="9" t="s">
        <v>95</v>
      </c>
    </row>
    <row r="13" customFormat="false" ht="30" hidden="false" customHeight="true" outlineLevel="0" collapsed="false">
      <c r="B13" s="9" t="s">
        <v>91</v>
      </c>
      <c r="C13" s="9" t="s">
        <v>96</v>
      </c>
      <c r="D13" s="9" t="s">
        <v>97</v>
      </c>
      <c r="E13" s="9" t="s">
        <v>98</v>
      </c>
      <c r="F13" s="9" t="s">
        <v>99</v>
      </c>
    </row>
    <row r="14" customFormat="false" ht="30" hidden="false" customHeight="true" outlineLevel="0" collapsed="false">
      <c r="B14" s="9" t="s">
        <v>91</v>
      </c>
      <c r="C14" s="9" t="s">
        <v>100</v>
      </c>
      <c r="D14" s="9" t="s">
        <v>101</v>
      </c>
      <c r="E14" s="9" t="s">
        <v>102</v>
      </c>
      <c r="F14" s="9" t="s">
        <v>103</v>
      </c>
    </row>
    <row r="15" customFormat="false" ht="30" hidden="false" customHeight="true" outlineLevel="0" collapsed="false">
      <c r="B15" s="6" t="s">
        <v>104</v>
      </c>
      <c r="C15" s="9" t="s">
        <v>105</v>
      </c>
      <c r="D15" s="9" t="s">
        <v>106</v>
      </c>
      <c r="E15" s="9" t="s">
        <v>107</v>
      </c>
      <c r="F15" s="9" t="s">
        <v>108</v>
      </c>
    </row>
    <row r="16" customFormat="false" ht="30" hidden="false" customHeight="true" outlineLevel="0" collapsed="false">
      <c r="B16" s="6" t="s">
        <v>109</v>
      </c>
      <c r="C16" s="9" t="s">
        <v>110</v>
      </c>
      <c r="D16" s="9" t="s">
        <v>111</v>
      </c>
      <c r="E16" s="9" t="s">
        <v>112</v>
      </c>
      <c r="F16" s="9" t="s">
        <v>113</v>
      </c>
    </row>
    <row r="17" customFormat="false" ht="30" hidden="false" customHeight="true" outlineLevel="0" collapsed="false">
      <c r="B17" s="6"/>
      <c r="C17" s="9"/>
      <c r="D17" s="9"/>
      <c r="E17" s="9"/>
      <c r="F17" s="9"/>
    </row>
    <row r="18" customFormat="false" ht="30" hidden="false" customHeight="true" outlineLevel="0" collapsed="false">
      <c r="B18" s="6"/>
      <c r="C18" s="9"/>
      <c r="D18" s="9"/>
      <c r="E18" s="9"/>
      <c r="F18" s="9"/>
    </row>
    <row r="19" customFormat="false" ht="30" hidden="false" customHeight="true" outlineLevel="0" collapsed="false">
      <c r="B19" s="6"/>
      <c r="C19" s="9"/>
      <c r="D19" s="9"/>
      <c r="E19" s="9"/>
      <c r="F19" s="9"/>
    </row>
    <row r="20" customFormat="false" ht="30" hidden="false" customHeight="true" outlineLevel="0" collapsed="false">
      <c r="B20" s="6"/>
      <c r="C20" s="9"/>
      <c r="D20" s="9"/>
      <c r="E20" s="9"/>
      <c r="F20" s="9"/>
    </row>
    <row r="21" customFormat="false" ht="30" hidden="false" customHeight="true" outlineLevel="0" collapsed="false">
      <c r="B21" s="6"/>
      <c r="C21" s="9"/>
      <c r="D21" s="9"/>
      <c r="E21" s="9"/>
      <c r="F21" s="9"/>
    </row>
    <row r="22" customFormat="false" ht="30" hidden="false" customHeight="true" outlineLevel="0" collapsed="false">
      <c r="B22" s="6"/>
      <c r="C22" s="9"/>
      <c r="D22" s="9"/>
      <c r="E22" s="9"/>
      <c r="F22" s="9"/>
    </row>
    <row r="23" customFormat="false" ht="30" hidden="false" customHeight="true" outlineLevel="0" collapsed="false">
      <c r="B23" s="6"/>
      <c r="C23" s="9"/>
      <c r="D23" s="9"/>
      <c r="E23" s="9"/>
      <c r="F23" s="9"/>
    </row>
  </sheetData>
  <mergeCells count="2">
    <mergeCell ref="B2:F2"/>
    <mergeCell ref="B3:F3"/>
  </mergeCells>
  <dataValidations count="1">
    <dataValidation allowBlank="true" errorStyle="stop" operator="between" showDropDown="false" showErrorMessage="false" showInputMessage="false" sqref="B6:B23" type="list">
      <formula1>"Must,Should,Could,Won't,제약"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2"/>
  </cols>
  <sheetData>
    <row r="2" customFormat="false" ht="30" hidden="false" customHeight="true" outlineLevel="0" collapsed="false">
      <c r="B2" s="11" t="s">
        <v>114</v>
      </c>
      <c r="C2" s="11"/>
      <c r="D2" s="11"/>
      <c r="E2" s="11"/>
      <c r="F2" s="11"/>
      <c r="G2" s="11"/>
      <c r="H2" s="11"/>
    </row>
    <row r="3" customFormat="false" ht="72" hidden="false" customHeight="true" outlineLevel="0" collapsed="false">
      <c r="B3" s="28" t="s">
        <v>115</v>
      </c>
      <c r="C3" s="28"/>
      <c r="D3" s="28"/>
      <c r="E3" s="28"/>
      <c r="F3" s="28"/>
      <c r="G3" s="28"/>
      <c r="H3" s="28"/>
    </row>
    <row r="4" customFormat="false" ht="18" hidden="false" customHeight="true" outlineLevel="0" collapsed="false">
      <c r="B4" s="28" t="s">
        <v>116</v>
      </c>
      <c r="C4" s="28"/>
      <c r="D4" s="28"/>
      <c r="E4" s="28"/>
      <c r="F4" s="28"/>
      <c r="G4" s="28"/>
      <c r="H4" s="28"/>
    </row>
    <row r="5" customFormat="false" ht="31.5" hidden="false" customHeight="true" outlineLevel="0" collapsed="false">
      <c r="B5" s="29" t="s">
        <v>117</v>
      </c>
      <c r="C5" s="29" t="s">
        <v>118</v>
      </c>
      <c r="D5" s="30" t="s">
        <v>119</v>
      </c>
      <c r="E5" s="31" t="s">
        <v>120</v>
      </c>
      <c r="F5" s="31" t="s">
        <v>121</v>
      </c>
      <c r="G5" s="29" t="s">
        <v>122</v>
      </c>
      <c r="H5" s="31" t="s">
        <v>123</v>
      </c>
    </row>
    <row r="6" customFormat="false" ht="33.75" hidden="false" customHeight="true" outlineLevel="0" collapsed="false">
      <c r="B6" s="32" t="s">
        <v>124</v>
      </c>
      <c r="C6" s="6" t="s">
        <v>125</v>
      </c>
      <c r="D6" s="18" t="n">
        <v>3</v>
      </c>
      <c r="E6" s="18" t="n">
        <v>4</v>
      </c>
      <c r="F6" s="18" t="n">
        <v>5</v>
      </c>
      <c r="G6" s="33" t="n">
        <f aca="false">IF(OR(E6="",F6=""),"",E6*F6*2)</f>
        <v>40</v>
      </c>
      <c r="H6" s="15" t="s">
        <v>126</v>
      </c>
    </row>
    <row r="7" customFormat="false" ht="33.75" hidden="false" customHeight="true" outlineLevel="0" collapsed="false">
      <c r="B7" s="32" t="s">
        <v>127</v>
      </c>
      <c r="C7" s="6" t="s">
        <v>128</v>
      </c>
      <c r="D7" s="18" t="n">
        <v>3</v>
      </c>
      <c r="E7" s="18" t="n">
        <v>3</v>
      </c>
      <c r="F7" s="18" t="n">
        <v>3</v>
      </c>
      <c r="G7" s="33" t="n">
        <f aca="false">IF(OR(E7="",F7=""),"",E7*F7*2)</f>
        <v>18</v>
      </c>
      <c r="H7" s="15" t="s">
        <v>129</v>
      </c>
    </row>
    <row r="8" customFormat="false" ht="33.75" hidden="false" customHeight="true" outlineLevel="0" collapsed="false">
      <c r="B8" s="32" t="s">
        <v>130</v>
      </c>
      <c r="C8" s="6" t="s">
        <v>131</v>
      </c>
      <c r="D8" s="18" t="n">
        <v>2</v>
      </c>
      <c r="E8" s="18" t="n">
        <v>4</v>
      </c>
      <c r="F8" s="18" t="n">
        <v>4</v>
      </c>
      <c r="G8" s="33" t="n">
        <f aca="false">IF(OR(E8="",F8=""),"",E8*F8*2)</f>
        <v>32</v>
      </c>
      <c r="H8" s="15" t="s">
        <v>132</v>
      </c>
    </row>
    <row r="9" customFormat="false" ht="33.75" hidden="false" customHeight="true" outlineLevel="0" collapsed="false">
      <c r="B9" s="32" t="s">
        <v>133</v>
      </c>
      <c r="C9" s="9" t="s">
        <v>134</v>
      </c>
      <c r="D9" s="18" t="n">
        <v>5</v>
      </c>
      <c r="E9" s="18" t="n">
        <v>1</v>
      </c>
      <c r="F9" s="18" t="n">
        <v>4</v>
      </c>
      <c r="G9" s="33" t="n">
        <f aca="false">IF(OR(E9="",F9=""),"",E9*F9*2)</f>
        <v>8</v>
      </c>
      <c r="H9" s="15" t="s">
        <v>129</v>
      </c>
    </row>
    <row r="10" customFormat="false" ht="33.75" hidden="false" customHeight="true" outlineLevel="0" collapsed="false">
      <c r="B10" s="32" t="s">
        <v>135</v>
      </c>
      <c r="C10" s="9" t="s">
        <v>136</v>
      </c>
      <c r="D10" s="18" t="n">
        <v>2</v>
      </c>
      <c r="E10" s="18" t="n">
        <v>5</v>
      </c>
      <c r="F10" s="18" t="n">
        <v>2</v>
      </c>
      <c r="G10" s="33" t="n">
        <f aca="false">IF(OR(E10="",F10=""),"",E10*F10*2)</f>
        <v>20</v>
      </c>
      <c r="H10" s="15" t="s">
        <v>137</v>
      </c>
    </row>
    <row r="11" customFormat="false" ht="33.75" hidden="false" customHeight="true" outlineLevel="0" collapsed="false">
      <c r="B11" s="32" t="s">
        <v>138</v>
      </c>
      <c r="C11" s="6" t="s">
        <v>139</v>
      </c>
      <c r="D11" s="18" t="n">
        <v>4</v>
      </c>
      <c r="E11" s="18" t="n">
        <v>2</v>
      </c>
      <c r="F11" s="18" t="n">
        <v>3</v>
      </c>
      <c r="G11" s="33" t="n">
        <f aca="false">IF(OR(E11="",F11=""),"",E11*F11*2)</f>
        <v>12</v>
      </c>
      <c r="H11" s="15" t="s">
        <v>129</v>
      </c>
    </row>
    <row r="12" customFormat="false" ht="33.75" hidden="false" customHeight="true" outlineLevel="0" collapsed="false">
      <c r="B12" s="32" t="s">
        <v>140</v>
      </c>
      <c r="C12" s="6" t="s">
        <v>141</v>
      </c>
      <c r="D12" s="18" t="n">
        <v>3</v>
      </c>
      <c r="E12" s="18" t="n">
        <v>3</v>
      </c>
      <c r="F12" s="18" t="n">
        <v>2</v>
      </c>
      <c r="G12" s="33" t="n">
        <f aca="false">IF(OR(E12="",F12=""),"",E12*F12*2)</f>
        <v>12</v>
      </c>
      <c r="H12" s="15" t="s">
        <v>129</v>
      </c>
    </row>
    <row r="13" customFormat="false" ht="33.75" hidden="false" customHeight="true" outlineLevel="0" collapsed="false">
      <c r="B13" s="32" t="s">
        <v>142</v>
      </c>
      <c r="C13" s="9" t="s">
        <v>143</v>
      </c>
      <c r="D13" s="18" t="n">
        <v>2</v>
      </c>
      <c r="E13" s="18" t="n">
        <v>4</v>
      </c>
      <c r="F13" s="18" t="n">
        <v>2</v>
      </c>
      <c r="G13" s="33" t="n">
        <f aca="false">IF(OR(E13="",F13=""),"",E13*F13*2)</f>
        <v>16</v>
      </c>
      <c r="H13" s="15" t="s">
        <v>129</v>
      </c>
    </row>
    <row r="14" customFormat="false" ht="33.75" hidden="false" customHeight="true" outlineLevel="0" collapsed="false">
      <c r="B14" s="32" t="s">
        <v>144</v>
      </c>
      <c r="C14" s="9" t="s">
        <v>145</v>
      </c>
      <c r="D14" s="18" t="n">
        <v>1</v>
      </c>
      <c r="E14" s="18" t="n">
        <v>5</v>
      </c>
      <c r="F14" s="18" t="n">
        <v>5</v>
      </c>
      <c r="G14" s="33" t="n">
        <f aca="false">IF(OR(E14="",F14=""),"",E14*F14*2)</f>
        <v>50</v>
      </c>
      <c r="H14" s="15" t="s">
        <v>146</v>
      </c>
    </row>
    <row r="15" customFormat="false" ht="118.5" hidden="false" customHeight="true" outlineLevel="0" collapsed="false">
      <c r="B15" s="34" t="s">
        <v>147</v>
      </c>
      <c r="C15" s="35" t="s">
        <v>148</v>
      </c>
      <c r="D15" s="35"/>
      <c r="E15" s="35"/>
      <c r="F15" s="35"/>
      <c r="G15" s="35"/>
      <c r="H15" s="35"/>
    </row>
  </sheetData>
  <mergeCells count="4">
    <mergeCell ref="B2:H2"/>
    <mergeCell ref="B3:H3"/>
    <mergeCell ref="B4:H4"/>
    <mergeCell ref="C15:H15"/>
  </mergeCells>
  <conditionalFormatting sqref="G6:G14">
    <cfRule type="expression" priority="2" aboveAverage="0" equalAverage="0" bottom="0" percent="0" rank="0" text="" dxfId="0">
      <formula>AND(G6&lt;&gt;"",G6&gt;=32)</formula>
    </cfRule>
  </conditionalFormatting>
  <dataValidations count="2">
    <dataValidation allowBlank="true" errorStyle="stop" operator="between" showDropDown="false" showErrorMessage="false" showInputMessage="false" sqref="E6:F13" type="list">
      <formula1>"1,2,3,4,5"</formula1>
      <formula2>0</formula2>
    </dataValidation>
    <dataValidation allowBlank="true" errorStyle="stop" operator="between" showDropDown="false" showErrorMessage="false" showInputMessage="false" sqref="H6:H13" type="list">
      <formula1>"선정,보류,제외"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88.57"/>
    <col collapsed="false" customWidth="true" hidden="false" outlineLevel="0" max="4" min="4" style="1" width="4"/>
  </cols>
  <sheetData>
    <row r="2" customFormat="false" ht="30" hidden="false" customHeight="true" outlineLevel="0" collapsed="false">
      <c r="B2" s="23" t="s">
        <v>149</v>
      </c>
      <c r="C2" s="23"/>
    </row>
    <row r="3" customFormat="false" ht="18" hidden="false" customHeight="true" outlineLevel="0" collapsed="false">
      <c r="B3" s="36" t="s">
        <v>150</v>
      </c>
      <c r="C3" s="36"/>
    </row>
    <row r="4" customFormat="false" ht="30" hidden="false" customHeight="true" outlineLevel="0" collapsed="false">
      <c r="B4" s="5" t="s">
        <v>151</v>
      </c>
      <c r="C4" s="9" t="s">
        <v>152</v>
      </c>
    </row>
    <row r="5" customFormat="false" ht="30" hidden="false" customHeight="true" outlineLevel="0" collapsed="false">
      <c r="B5" s="5" t="s">
        <v>153</v>
      </c>
      <c r="C5" s="9" t="s">
        <v>154</v>
      </c>
    </row>
    <row r="6" customFormat="false" ht="30" hidden="false" customHeight="true" outlineLevel="0" collapsed="false">
      <c r="B6" s="5" t="s">
        <v>155</v>
      </c>
      <c r="C6" s="9" t="s">
        <v>156</v>
      </c>
    </row>
    <row r="7" customFormat="false" ht="30" hidden="false" customHeight="true" outlineLevel="0" collapsed="false">
      <c r="B7" s="5" t="s">
        <v>157</v>
      </c>
      <c r="C7" s="9" t="s">
        <v>158</v>
      </c>
    </row>
    <row r="9" customFormat="false" ht="15" hidden="false" customHeight="true" outlineLevel="0" collapsed="false">
      <c r="B9" s="37" t="s">
        <v>159</v>
      </c>
      <c r="C9" s="37"/>
    </row>
    <row r="10" customFormat="false" ht="25.5" hidden="false" customHeight="true" outlineLevel="0" collapsed="false">
      <c r="B10" s="9" t="s">
        <v>160</v>
      </c>
      <c r="C10" s="9"/>
    </row>
    <row r="11" customFormat="false" ht="25.5" hidden="false" customHeight="true" outlineLevel="0" collapsed="false">
      <c r="B11" s="9" t="s">
        <v>161</v>
      </c>
      <c r="C11" s="9"/>
    </row>
    <row r="12" customFormat="false" ht="25.5" hidden="false" customHeight="true" outlineLevel="0" collapsed="false">
      <c r="B12" s="6" t="s">
        <v>162</v>
      </c>
      <c r="C12" s="6"/>
    </row>
    <row r="13" customFormat="false" ht="25.5" hidden="false" customHeight="true" outlineLevel="0" collapsed="false">
      <c r="B13" s="6" t="s">
        <v>163</v>
      </c>
      <c r="C13" s="6"/>
    </row>
    <row r="14" customFormat="false" ht="25.5" hidden="false" customHeight="true" outlineLevel="0" collapsed="false">
      <c r="B14" s="9" t="s">
        <v>164</v>
      </c>
      <c r="C14" s="9"/>
    </row>
    <row r="16" customFormat="false" ht="15" hidden="false" customHeight="true" outlineLevel="0" collapsed="false">
      <c r="B16" s="38" t="s">
        <v>165</v>
      </c>
      <c r="C16" s="38"/>
    </row>
    <row r="17" customFormat="false" ht="25.5" hidden="false" customHeight="true" outlineLevel="0" collapsed="false">
      <c r="B17" s="6" t="s">
        <v>166</v>
      </c>
      <c r="C17" s="6"/>
    </row>
    <row r="18" customFormat="false" ht="25.5" hidden="false" customHeight="true" outlineLevel="0" collapsed="false">
      <c r="B18" s="6" t="s">
        <v>167</v>
      </c>
      <c r="C18" s="6"/>
    </row>
    <row r="19" customFormat="false" ht="25.5" hidden="false" customHeight="true" outlineLevel="0" collapsed="false">
      <c r="B19" s="6" t="s">
        <v>168</v>
      </c>
      <c r="C19" s="6"/>
    </row>
    <row r="21" customFormat="false" ht="15" hidden="false" customHeight="true" outlineLevel="0" collapsed="false">
      <c r="B21" s="39" t="s">
        <v>169</v>
      </c>
      <c r="C21" s="39"/>
    </row>
    <row r="22" customFormat="false" ht="25.5" hidden="false" customHeight="true" outlineLevel="0" collapsed="false">
      <c r="B22" s="9" t="s">
        <v>170</v>
      </c>
      <c r="C22" s="9"/>
    </row>
    <row r="23" customFormat="false" ht="25.5" hidden="false" customHeight="true" outlineLevel="0" collapsed="false">
      <c r="B23" s="9" t="s">
        <v>171</v>
      </c>
      <c r="C23" s="9"/>
    </row>
    <row r="24" customFormat="false" ht="25.5" hidden="false" customHeight="true" outlineLevel="0" collapsed="false">
      <c r="B24" s="9" t="s">
        <v>172</v>
      </c>
      <c r="C24" s="9"/>
    </row>
  </sheetData>
  <mergeCells count="16">
    <mergeCell ref="B2:C2"/>
    <mergeCell ref="B3:C3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.29"/>
    <col collapsed="false" customWidth="true" hidden="false" outlineLevel="0" max="3" min="3" style="1" width="10.57"/>
    <col collapsed="false" customWidth="true" hidden="false" outlineLevel="0" max="4" min="4" style="1" width="22.42"/>
    <col collapsed="false" customWidth="true" hidden="false" outlineLevel="0" max="5" min="5" style="1" width="10.14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9" min="8" style="1" width="8"/>
    <col collapsed="false" customWidth="true" hidden="false" outlineLevel="0" max="10" min="10" style="1" width="7.42"/>
    <col collapsed="false" customWidth="true" hidden="false" outlineLevel="0" max="11" min="11" style="1" width="7.57"/>
    <col collapsed="false" customWidth="true" hidden="false" outlineLevel="0" max="12" min="12" style="1" width="7.29"/>
    <col collapsed="false" customWidth="true" hidden="false" outlineLevel="0" max="14" min="14" style="1" width="22"/>
    <col collapsed="false" customWidth="true" hidden="false" outlineLevel="0" max="16" min="15" style="1" width="12"/>
  </cols>
  <sheetData>
    <row r="2" customFormat="false" ht="27.75" hidden="false" customHeight="true" outlineLevel="0" collapsed="false">
      <c r="B2" s="40" t="s">
        <v>173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O2" s="41" t="s">
        <v>174</v>
      </c>
      <c r="P2" s="42" t="n">
        <v>46218</v>
      </c>
    </row>
    <row r="3" customFormat="false" ht="79.5" hidden="false" customHeight="true" outlineLevel="0" collapsed="false">
      <c r="B3" s="43" t="s">
        <v>175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customFormat="false" ht="25.5" hidden="false" customHeight="true" outlineLevel="0" collapsed="false">
      <c r="B4" s="44" t="s">
        <v>176</v>
      </c>
      <c r="C4" s="31" t="s">
        <v>177</v>
      </c>
      <c r="D4" s="31" t="s">
        <v>178</v>
      </c>
      <c r="E4" s="31" t="s">
        <v>179</v>
      </c>
      <c r="F4" s="45" t="s">
        <v>180</v>
      </c>
      <c r="G4" s="45" t="s">
        <v>181</v>
      </c>
      <c r="H4" s="30" t="s">
        <v>182</v>
      </c>
      <c r="I4" s="31" t="s">
        <v>183</v>
      </c>
      <c r="J4" s="31" t="s">
        <v>184</v>
      </c>
      <c r="K4" s="46" t="n">
        <v>1</v>
      </c>
      <c r="L4" s="46" t="n">
        <v>2</v>
      </c>
      <c r="M4" s="46" t="n">
        <v>3</v>
      </c>
      <c r="N4" s="31" t="s">
        <v>185</v>
      </c>
      <c r="O4" s="31" t="s">
        <v>186</v>
      </c>
      <c r="P4" s="31" t="s">
        <v>187</v>
      </c>
    </row>
    <row r="5" customFormat="false" ht="30" hidden="false" customHeight="true" outlineLevel="0" collapsed="false">
      <c r="B5" s="18" t="n">
        <v>1</v>
      </c>
      <c r="C5" s="15" t="s">
        <v>188</v>
      </c>
      <c r="D5" s="9" t="s">
        <v>189</v>
      </c>
      <c r="E5" s="15" t="s">
        <v>190</v>
      </c>
      <c r="F5" s="18" t="n">
        <v>1</v>
      </c>
      <c r="G5" s="18" t="n">
        <v>1</v>
      </c>
      <c r="H5" s="18" t="n">
        <f aca="false">IF(OR(F5="",G5=""),"",G5-F5+1)</f>
        <v>1</v>
      </c>
      <c r="I5" s="18" t="n">
        <v>0</v>
      </c>
      <c r="J5" s="15" t="s">
        <v>191</v>
      </c>
      <c r="K5" s="6"/>
      <c r="L5" s="6"/>
      <c r="M5" s="6"/>
      <c r="N5" s="9" t="s">
        <v>112</v>
      </c>
      <c r="O5" s="47" t="n">
        <f aca="false">IF($F5="","",$P$2+$F5-1)</f>
        <v>46218</v>
      </c>
      <c r="P5" s="47" t="n">
        <f aca="false">IF($G5="","",$P$2+$G5-1)</f>
        <v>46218</v>
      </c>
    </row>
    <row r="6" customFormat="false" ht="30" hidden="false" customHeight="true" outlineLevel="0" collapsed="false">
      <c r="B6" s="18" t="n">
        <v>2</v>
      </c>
      <c r="C6" s="15" t="s">
        <v>188</v>
      </c>
      <c r="D6" s="9" t="s">
        <v>192</v>
      </c>
      <c r="E6" s="15" t="s">
        <v>190</v>
      </c>
      <c r="F6" s="18" t="n">
        <v>1</v>
      </c>
      <c r="G6" s="18" t="n">
        <v>1</v>
      </c>
      <c r="H6" s="18" t="n">
        <f aca="false">IF(OR(F6="",G6=""),"",G6-F6+1)</f>
        <v>1</v>
      </c>
      <c r="I6" s="18" t="n">
        <v>0</v>
      </c>
      <c r="J6" s="15" t="s">
        <v>191</v>
      </c>
      <c r="K6" s="6"/>
      <c r="L6" s="6"/>
      <c r="M6" s="6"/>
      <c r="N6" s="9" t="s">
        <v>193</v>
      </c>
      <c r="O6" s="47" t="n">
        <f aca="false">IF($F6="","",$P$2+$F6-1)</f>
        <v>46218</v>
      </c>
      <c r="P6" s="47" t="n">
        <f aca="false">IF($G6="","",$P$2+$G6-1)</f>
        <v>46218</v>
      </c>
    </row>
    <row r="7" customFormat="false" ht="30" hidden="false" customHeight="true" outlineLevel="0" collapsed="false">
      <c r="B7" s="18" t="n">
        <v>3</v>
      </c>
      <c r="C7" s="15" t="s">
        <v>194</v>
      </c>
      <c r="D7" s="9" t="s">
        <v>195</v>
      </c>
      <c r="E7" s="18" t="s">
        <v>196</v>
      </c>
      <c r="F7" s="18" t="n">
        <v>1</v>
      </c>
      <c r="G7" s="18" t="n">
        <v>1</v>
      </c>
      <c r="H7" s="18" t="n">
        <f aca="false">IF(OR(F7="",G7=""),"",G7-F7+1)</f>
        <v>1</v>
      </c>
      <c r="I7" s="18" t="n">
        <v>0</v>
      </c>
      <c r="J7" s="15" t="s">
        <v>191</v>
      </c>
      <c r="K7" s="6"/>
      <c r="L7" s="6"/>
      <c r="M7" s="6"/>
      <c r="N7" s="9" t="s">
        <v>197</v>
      </c>
      <c r="O7" s="48" t="n">
        <f aca="false">IF($F7="","",$P$2+$F7-1)</f>
        <v>46218</v>
      </c>
      <c r="P7" s="48" t="n">
        <f aca="false">IF($G7="","",$P$2+$G7-1)</f>
        <v>46218</v>
      </c>
    </row>
    <row r="8" customFormat="false" ht="30" hidden="false" customHeight="true" outlineLevel="0" collapsed="false">
      <c r="B8" s="18" t="n">
        <v>4</v>
      </c>
      <c r="C8" s="15" t="s">
        <v>194</v>
      </c>
      <c r="D8" s="9" t="s">
        <v>198</v>
      </c>
      <c r="E8" s="15" t="s">
        <v>190</v>
      </c>
      <c r="F8" s="18" t="n">
        <v>1</v>
      </c>
      <c r="G8" s="18" t="n">
        <v>1</v>
      </c>
      <c r="H8" s="18" t="n">
        <f aca="false">IF(OR(F8="",G8=""),"",G8-F8+1)</f>
        <v>1</v>
      </c>
      <c r="I8" s="18" t="n">
        <v>0</v>
      </c>
      <c r="J8" s="15" t="s">
        <v>191</v>
      </c>
      <c r="K8" s="6"/>
      <c r="L8" s="6"/>
      <c r="M8" s="6"/>
      <c r="N8" s="9" t="s">
        <v>197</v>
      </c>
      <c r="O8" s="47" t="n">
        <f aca="false">IF($F8="","",$P$2+$F8-1)</f>
        <v>46218</v>
      </c>
      <c r="P8" s="47" t="n">
        <f aca="false">IF($G8="","",$P$2+$G8-1)</f>
        <v>46218</v>
      </c>
    </row>
    <row r="9" customFormat="false" ht="30" hidden="false" customHeight="true" outlineLevel="0" collapsed="false">
      <c r="B9" s="18" t="n">
        <v>5</v>
      </c>
      <c r="C9" s="15" t="s">
        <v>199</v>
      </c>
      <c r="D9" s="9" t="s">
        <v>200</v>
      </c>
      <c r="E9" s="18" t="s">
        <v>196</v>
      </c>
      <c r="F9" s="18" t="n">
        <v>2</v>
      </c>
      <c r="G9" s="18" t="n">
        <v>2</v>
      </c>
      <c r="H9" s="18" t="n">
        <f aca="false">IF(OR(F9="",G9=""),"",G9-F9+1)</f>
        <v>1</v>
      </c>
      <c r="I9" s="18" t="n">
        <v>0</v>
      </c>
      <c r="J9" s="15" t="s">
        <v>191</v>
      </c>
      <c r="K9" s="6"/>
      <c r="L9" s="6"/>
      <c r="M9" s="6"/>
      <c r="N9" s="9" t="s">
        <v>201</v>
      </c>
      <c r="O9" s="48" t="n">
        <f aca="false">IF($F9="","",$P$2+$F9-1)</f>
        <v>46219</v>
      </c>
      <c r="P9" s="48" t="n">
        <f aca="false">IF($G9="","",$P$2+$G9-1)</f>
        <v>46219</v>
      </c>
    </row>
    <row r="10" customFormat="false" ht="30" hidden="false" customHeight="true" outlineLevel="0" collapsed="false">
      <c r="B10" s="18" t="n">
        <v>6</v>
      </c>
      <c r="C10" s="15" t="s">
        <v>199</v>
      </c>
      <c r="D10" s="9" t="s">
        <v>202</v>
      </c>
      <c r="E10" s="18" t="s">
        <v>196</v>
      </c>
      <c r="F10" s="18" t="n">
        <v>2</v>
      </c>
      <c r="G10" s="18" t="n">
        <v>2</v>
      </c>
      <c r="H10" s="18" t="n">
        <f aca="false">IF(OR(F10="",G10=""),"",G10-F10+1)</f>
        <v>1</v>
      </c>
      <c r="I10" s="18" t="n">
        <v>0</v>
      </c>
      <c r="J10" s="15" t="s">
        <v>191</v>
      </c>
      <c r="K10" s="6"/>
      <c r="L10" s="6"/>
      <c r="M10" s="6"/>
      <c r="N10" s="9" t="s">
        <v>201</v>
      </c>
      <c r="O10" s="48" t="n">
        <f aca="false">IF($F10="","",$P$2+$F10-1)</f>
        <v>46219</v>
      </c>
      <c r="P10" s="48" t="n">
        <f aca="false">IF($G10="","",$P$2+$G10-1)</f>
        <v>46219</v>
      </c>
    </row>
    <row r="11" customFormat="false" ht="30" hidden="false" customHeight="true" outlineLevel="0" collapsed="false">
      <c r="B11" s="18" t="n">
        <v>7</v>
      </c>
      <c r="C11" s="15" t="s">
        <v>199</v>
      </c>
      <c r="D11" s="9" t="s">
        <v>203</v>
      </c>
      <c r="E11" s="18" t="s">
        <v>204</v>
      </c>
      <c r="F11" s="18" t="n">
        <v>2</v>
      </c>
      <c r="G11" s="18" t="n">
        <v>2</v>
      </c>
      <c r="H11" s="18" t="n">
        <f aca="false">IF(OR(F11="",G11=""),"",G11-F11+1)</f>
        <v>1</v>
      </c>
      <c r="I11" s="18" t="n">
        <v>0</v>
      </c>
      <c r="J11" s="15" t="s">
        <v>191</v>
      </c>
      <c r="K11" s="6"/>
      <c r="L11" s="6"/>
      <c r="M11" s="6"/>
      <c r="N11" s="9" t="s">
        <v>205</v>
      </c>
      <c r="O11" s="48" t="n">
        <f aca="false">IF($F11="","",$P$2+$F11-1)</f>
        <v>46219</v>
      </c>
      <c r="P11" s="48" t="n">
        <f aca="false">IF($G11="","",$P$2+$G11-1)</f>
        <v>46219</v>
      </c>
    </row>
    <row r="12" customFormat="false" ht="30" hidden="false" customHeight="true" outlineLevel="0" collapsed="false">
      <c r="B12" s="18" t="n">
        <v>8</v>
      </c>
      <c r="C12" s="15" t="s">
        <v>199</v>
      </c>
      <c r="D12" s="9" t="s">
        <v>206</v>
      </c>
      <c r="E12" s="18" t="s">
        <v>204</v>
      </c>
      <c r="F12" s="18" t="n">
        <v>2</v>
      </c>
      <c r="G12" s="18" t="n">
        <v>2</v>
      </c>
      <c r="H12" s="18" t="n">
        <f aca="false">IF(OR(F12="",G12=""),"",G12-F12+1)</f>
        <v>1</v>
      </c>
      <c r="I12" s="18" t="n">
        <v>0</v>
      </c>
      <c r="J12" s="15" t="s">
        <v>191</v>
      </c>
      <c r="K12" s="6"/>
      <c r="L12" s="6"/>
      <c r="M12" s="6"/>
      <c r="N12" s="9" t="s">
        <v>207</v>
      </c>
      <c r="O12" s="48" t="n">
        <f aca="false">IF($F12="","",$P$2+$F12-1)</f>
        <v>46219</v>
      </c>
      <c r="P12" s="48" t="n">
        <f aca="false">IF($G12="","",$P$2+$G12-1)</f>
        <v>46219</v>
      </c>
    </row>
    <row r="13" customFormat="false" ht="30" hidden="false" customHeight="true" outlineLevel="0" collapsed="false">
      <c r="B13" s="18" t="n">
        <v>9</v>
      </c>
      <c r="C13" s="15" t="s">
        <v>199</v>
      </c>
      <c r="D13" s="9" t="s">
        <v>208</v>
      </c>
      <c r="E13" s="18" t="s">
        <v>204</v>
      </c>
      <c r="F13" s="18" t="n">
        <v>2</v>
      </c>
      <c r="G13" s="18" t="n">
        <v>2</v>
      </c>
      <c r="H13" s="18" t="n">
        <f aca="false">IF(OR(F13="",G13=""),"",G13-F13+1)</f>
        <v>1</v>
      </c>
      <c r="I13" s="18" t="n">
        <v>0</v>
      </c>
      <c r="J13" s="15" t="s">
        <v>191</v>
      </c>
      <c r="K13" s="6"/>
      <c r="L13" s="6"/>
      <c r="M13" s="6"/>
      <c r="N13" s="9" t="s">
        <v>209</v>
      </c>
      <c r="O13" s="48" t="n">
        <f aca="false">IF($F13="","",$P$2+$F13-1)</f>
        <v>46219</v>
      </c>
      <c r="P13" s="48" t="n">
        <f aca="false">IF($G13="","",$P$2+$G13-1)</f>
        <v>46219</v>
      </c>
    </row>
    <row r="14" customFormat="false" ht="30" hidden="false" customHeight="true" outlineLevel="0" collapsed="false">
      <c r="B14" s="18" t="n">
        <v>10</v>
      </c>
      <c r="C14" s="15" t="s">
        <v>199</v>
      </c>
      <c r="D14" s="9" t="s">
        <v>210</v>
      </c>
      <c r="E14" s="18" t="s">
        <v>211</v>
      </c>
      <c r="F14" s="18" t="n">
        <v>2</v>
      </c>
      <c r="G14" s="18" t="n">
        <v>3</v>
      </c>
      <c r="H14" s="18" t="n">
        <f aca="false">IF(OR(F14="",G14=""),"",G14-F14+1)</f>
        <v>2</v>
      </c>
      <c r="I14" s="18" t="n">
        <v>0</v>
      </c>
      <c r="J14" s="15" t="s">
        <v>191</v>
      </c>
      <c r="K14" s="6"/>
      <c r="L14" s="6"/>
      <c r="M14" s="6"/>
      <c r="N14" s="9" t="s">
        <v>212</v>
      </c>
      <c r="O14" s="48" t="n">
        <f aca="false">IF($F14="","",$P$2+$F14-1)</f>
        <v>46219</v>
      </c>
      <c r="P14" s="48" t="n">
        <f aca="false">IF($G14="","",$P$2+$G14-1)</f>
        <v>46220</v>
      </c>
    </row>
    <row r="15" customFormat="false" ht="30" hidden="false" customHeight="true" outlineLevel="0" collapsed="false">
      <c r="B15" s="18" t="n">
        <v>11</v>
      </c>
      <c r="C15" s="15" t="s">
        <v>213</v>
      </c>
      <c r="D15" s="9" t="s">
        <v>214</v>
      </c>
      <c r="E15" s="18" t="s">
        <v>196</v>
      </c>
      <c r="F15" s="18" t="n">
        <v>3</v>
      </c>
      <c r="G15" s="18" t="n">
        <v>3</v>
      </c>
      <c r="H15" s="18" t="n">
        <f aca="false">IF(OR(F15="",G15=""),"",G15-F15+1)</f>
        <v>1</v>
      </c>
      <c r="I15" s="18" t="n">
        <v>0</v>
      </c>
      <c r="J15" s="15" t="s">
        <v>191</v>
      </c>
      <c r="K15" s="6"/>
      <c r="L15" s="6"/>
      <c r="M15" s="6"/>
      <c r="N15" s="9" t="s">
        <v>215</v>
      </c>
      <c r="O15" s="48" t="n">
        <f aca="false">IF($F15="","",$P$2+$F15-1)</f>
        <v>46220</v>
      </c>
      <c r="P15" s="48" t="n">
        <f aca="false">IF($G15="","",$P$2+$G15-1)</f>
        <v>46220</v>
      </c>
    </row>
    <row r="16" customFormat="false" ht="30" hidden="false" customHeight="true" outlineLevel="0" collapsed="false">
      <c r="B16" s="18" t="n">
        <v>12</v>
      </c>
      <c r="C16" s="15" t="s">
        <v>216</v>
      </c>
      <c r="D16" s="9" t="s">
        <v>217</v>
      </c>
      <c r="E16" s="15" t="s">
        <v>190</v>
      </c>
      <c r="F16" s="18" t="n">
        <v>3</v>
      </c>
      <c r="G16" s="18" t="n">
        <v>3</v>
      </c>
      <c r="H16" s="18" t="n">
        <f aca="false">IF(OR(F16="",G16=""),"",G16-F16+1)</f>
        <v>1</v>
      </c>
      <c r="I16" s="18" t="n">
        <v>0</v>
      </c>
      <c r="J16" s="15" t="s">
        <v>191</v>
      </c>
      <c r="K16" s="6"/>
      <c r="L16" s="6"/>
      <c r="M16" s="6"/>
      <c r="N16" s="9" t="s">
        <v>218</v>
      </c>
      <c r="O16" s="47" t="n">
        <f aca="false">IF($F16="","",$P$2+$F16-1)</f>
        <v>46220</v>
      </c>
      <c r="P16" s="47" t="n">
        <f aca="false">IF($G16="","",$P$2+$G16-1)</f>
        <v>46220</v>
      </c>
    </row>
    <row r="17" customFormat="false" ht="30" hidden="false" customHeight="true" outlineLevel="0" collapsed="false">
      <c r="B17" s="18" t="n">
        <v>13</v>
      </c>
      <c r="C17" s="15" t="s">
        <v>219</v>
      </c>
      <c r="D17" s="9" t="s">
        <v>220</v>
      </c>
      <c r="E17" s="15" t="s">
        <v>190</v>
      </c>
      <c r="F17" s="18" t="n">
        <v>3</v>
      </c>
      <c r="G17" s="18" t="n">
        <v>3</v>
      </c>
      <c r="H17" s="18" t="n">
        <f aca="false">IF(OR(F17="",G17=""),"",G17-F17+1)</f>
        <v>1</v>
      </c>
      <c r="I17" s="18" t="n">
        <v>0</v>
      </c>
      <c r="J17" s="15" t="s">
        <v>191</v>
      </c>
      <c r="K17" s="6"/>
      <c r="L17" s="6"/>
      <c r="M17" s="6"/>
      <c r="N17" s="9" t="s">
        <v>218</v>
      </c>
      <c r="O17" s="47" t="n">
        <f aca="false">IF($F17="","",$P$2+$F17-1)</f>
        <v>46220</v>
      </c>
      <c r="P17" s="47" t="n">
        <f aca="false">IF($G17="","",$P$2+$G17-1)</f>
        <v>46220</v>
      </c>
    </row>
    <row r="18" customFormat="false" ht="30" hidden="false" customHeight="true" outlineLevel="0" collapsed="false">
      <c r="B18" s="18" t="n">
        <v>14</v>
      </c>
      <c r="C18" s="15" t="s">
        <v>221</v>
      </c>
      <c r="D18" s="9" t="s">
        <v>222</v>
      </c>
      <c r="E18" s="15" t="s">
        <v>190</v>
      </c>
      <c r="F18" s="18" t="n">
        <v>3</v>
      </c>
      <c r="G18" s="18" t="n">
        <v>3</v>
      </c>
      <c r="H18" s="18" t="n">
        <f aca="false">IF(OR(F18="",G18=""),"",G18-F18+1)</f>
        <v>1</v>
      </c>
      <c r="I18" s="18" t="n">
        <v>0</v>
      </c>
      <c r="J18" s="15" t="s">
        <v>191</v>
      </c>
      <c r="K18" s="6"/>
      <c r="L18" s="6"/>
      <c r="M18" s="6"/>
      <c r="N18" s="9" t="s">
        <v>223</v>
      </c>
      <c r="O18" s="47" t="n">
        <f aca="false">IF($F18="","",$P$2+$F18-1)</f>
        <v>46220</v>
      </c>
      <c r="P18" s="47" t="n">
        <f aca="false">IF($G18="","",$P$2+$G18-1)</f>
        <v>46220</v>
      </c>
    </row>
    <row r="20" customFormat="false" ht="15" hidden="false" customHeight="true" outlineLevel="0" collapsed="false">
      <c r="B20" s="49" t="s">
        <v>224</v>
      </c>
      <c r="C20" s="49"/>
    </row>
    <row r="21" customFormat="false" ht="15" hidden="false" customHeight="true" outlineLevel="0" collapsed="false">
      <c r="B21" s="50" t="s">
        <v>188</v>
      </c>
      <c r="C21" s="50"/>
    </row>
    <row r="22" customFormat="false" ht="15" hidden="false" customHeight="true" outlineLevel="0" collapsed="false">
      <c r="B22" s="51" t="s">
        <v>194</v>
      </c>
      <c r="C22" s="51"/>
    </row>
    <row r="23" customFormat="false" ht="15" hidden="false" customHeight="true" outlineLevel="0" collapsed="false">
      <c r="B23" s="52" t="s">
        <v>199</v>
      </c>
      <c r="C23" s="52"/>
    </row>
    <row r="24" customFormat="false" ht="15" hidden="false" customHeight="true" outlineLevel="0" collapsed="false">
      <c r="B24" s="53" t="s">
        <v>213</v>
      </c>
      <c r="C24" s="53"/>
    </row>
    <row r="25" customFormat="false" ht="15" hidden="false" customHeight="true" outlineLevel="0" collapsed="false">
      <c r="B25" s="54" t="s">
        <v>216</v>
      </c>
      <c r="C25" s="54"/>
    </row>
    <row r="26" customFormat="false" ht="15" hidden="false" customHeight="true" outlineLevel="0" collapsed="false">
      <c r="B26" s="55" t="s">
        <v>219</v>
      </c>
      <c r="C26" s="55"/>
    </row>
    <row r="27" customFormat="false" ht="15" hidden="false" customHeight="true" outlineLevel="0" collapsed="false">
      <c r="B27" s="56" t="s">
        <v>221</v>
      </c>
      <c r="C27" s="56"/>
    </row>
    <row r="28" customFormat="false" ht="15" hidden="false" customHeight="true" outlineLevel="0" collapsed="false">
      <c r="B28" s="57" t="s">
        <v>225</v>
      </c>
      <c r="C28" s="57"/>
    </row>
  </sheetData>
  <mergeCells count="11">
    <mergeCell ref="B2:M2"/>
    <mergeCell ref="B3:M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conditionalFormatting sqref="K5:M18">
    <cfRule type="expression" priority="2" aboveAverage="0" equalAverage="0" bottom="0" percent="0" rank="0" text="" dxfId="1">
      <formula>AND(K$4&gt;=$F5,K$4&lt;=$G5)</formula>
    </cfRule>
  </conditionalFormatting>
  <dataValidations count="2">
    <dataValidation allowBlank="true" errorStyle="stop" operator="between" showDropDown="false" showErrorMessage="false" showInputMessage="false" sqref="C5:C18" type="list">
      <formula1>"기획,설계,개발,배포,테스트,문서화,발표준비"</formula1>
      <formula2>0</formula2>
    </dataValidation>
    <dataValidation allowBlank="true" errorStyle="stop" operator="between" showDropDown="false" showErrorMessage="false" showInputMessage="false" sqref="J5:J18" type="list">
      <formula1>"예정,진행중,완료"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B2:C32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78"/>
  </cols>
  <sheetData>
    <row r="2" customFormat="false" ht="30" hidden="false" customHeight="true" outlineLevel="0" collapsed="false">
      <c r="B2" s="11" t="s">
        <v>226</v>
      </c>
      <c r="C2" s="11"/>
    </row>
    <row r="3" customFormat="false" ht="19.5" hidden="false" customHeight="true" outlineLevel="0" collapsed="false">
      <c r="B3" s="28" t="s">
        <v>227</v>
      </c>
      <c r="C3" s="28"/>
    </row>
    <row r="5" customFormat="false" ht="19.5" hidden="false" customHeight="true" outlineLevel="0" collapsed="false">
      <c r="B5" s="12" t="s">
        <v>228</v>
      </c>
      <c r="C5" s="12" t="s">
        <v>229</v>
      </c>
    </row>
    <row r="6" customFormat="false" ht="30" hidden="false" customHeight="true" outlineLevel="0" collapsed="false">
      <c r="B6" s="8" t="s">
        <v>230</v>
      </c>
      <c r="C6" s="9" t="s">
        <v>231</v>
      </c>
    </row>
    <row r="7" customFormat="false" ht="30" hidden="false" customHeight="true" outlineLevel="0" collapsed="false">
      <c r="B7" s="8" t="s">
        <v>232</v>
      </c>
      <c r="C7" s="9" t="s">
        <v>233</v>
      </c>
    </row>
    <row r="8" customFormat="false" ht="30" hidden="false" customHeight="true" outlineLevel="0" collapsed="false">
      <c r="B8" s="8" t="s">
        <v>234</v>
      </c>
      <c r="C8" s="9" t="s">
        <v>235</v>
      </c>
    </row>
    <row r="9" customFormat="false" ht="30" hidden="false" customHeight="true" outlineLevel="0" collapsed="false">
      <c r="B9" s="5" t="s">
        <v>236</v>
      </c>
      <c r="C9" s="9" t="s">
        <v>237</v>
      </c>
    </row>
    <row r="10" customFormat="false" ht="30" hidden="false" customHeight="true" outlineLevel="0" collapsed="false">
      <c r="B10" s="8" t="s">
        <v>238</v>
      </c>
      <c r="C10" s="9" t="s">
        <v>239</v>
      </c>
    </row>
    <row r="11" customFormat="false" ht="30" hidden="false" customHeight="true" outlineLevel="0" collapsed="false">
      <c r="B11" s="8" t="s">
        <v>240</v>
      </c>
      <c r="C11" s="9" t="s">
        <v>241</v>
      </c>
    </row>
    <row r="12" customFormat="false" ht="30" hidden="false" customHeight="true" outlineLevel="0" collapsed="false">
      <c r="B12" s="8" t="s">
        <v>242</v>
      </c>
      <c r="C12" s="9" t="s">
        <v>243</v>
      </c>
    </row>
    <row r="13" customFormat="false" ht="30" hidden="false" customHeight="true" outlineLevel="0" collapsed="false">
      <c r="B13" s="5" t="s">
        <v>244</v>
      </c>
      <c r="C13" s="9" t="s">
        <v>245</v>
      </c>
    </row>
    <row r="14" customFormat="false" ht="30" hidden="false" customHeight="true" outlineLevel="0" collapsed="false">
      <c r="B14" s="8" t="s">
        <v>246</v>
      </c>
      <c r="C14" s="9" t="s">
        <v>247</v>
      </c>
    </row>
    <row r="15" customFormat="false" ht="30" hidden="false" customHeight="true" outlineLevel="0" collapsed="false">
      <c r="B15" s="5" t="s">
        <v>248</v>
      </c>
      <c r="C15" s="9" t="s">
        <v>249</v>
      </c>
    </row>
    <row r="16" customFormat="false" ht="30" hidden="false" customHeight="true" outlineLevel="0" collapsed="false">
      <c r="B16" s="5" t="s">
        <v>250</v>
      </c>
      <c r="C16" s="9" t="s">
        <v>251</v>
      </c>
    </row>
    <row r="17" customFormat="false" ht="30" hidden="false" customHeight="true" outlineLevel="0" collapsed="false">
      <c r="B17" s="8" t="s">
        <v>252</v>
      </c>
      <c r="C17" s="9" t="s">
        <v>253</v>
      </c>
    </row>
    <row r="18" customFormat="false" ht="30" hidden="false" customHeight="true" outlineLevel="0" collapsed="false">
      <c r="B18" s="5" t="s">
        <v>254</v>
      </c>
      <c r="C18" s="9" t="s">
        <v>255</v>
      </c>
    </row>
    <row r="19" customFormat="false" ht="30" hidden="false" customHeight="true" outlineLevel="0" collapsed="false">
      <c r="B19" s="5" t="s">
        <v>256</v>
      </c>
      <c r="C19" s="9" t="s">
        <v>257</v>
      </c>
    </row>
    <row r="20" customFormat="false" ht="30" hidden="false" customHeight="true" outlineLevel="0" collapsed="false">
      <c r="B20" s="5" t="s">
        <v>258</v>
      </c>
      <c r="C20" s="9" t="s">
        <v>259</v>
      </c>
    </row>
    <row r="21" customFormat="false" ht="30" hidden="false" customHeight="true" outlineLevel="0" collapsed="false">
      <c r="B21" s="5" t="s">
        <v>260</v>
      </c>
      <c r="C21" s="6" t="s">
        <v>261</v>
      </c>
    </row>
    <row r="22" customFormat="false" ht="30" hidden="false" customHeight="true" outlineLevel="0" collapsed="false">
      <c r="B22" s="5" t="s">
        <v>262</v>
      </c>
      <c r="C22" s="9" t="s">
        <v>263</v>
      </c>
    </row>
    <row r="23" customFormat="false" ht="30" hidden="false" customHeight="true" outlineLevel="0" collapsed="false">
      <c r="B23" s="8" t="s">
        <v>264</v>
      </c>
      <c r="C23" s="9" t="s">
        <v>265</v>
      </c>
    </row>
    <row r="24" customFormat="false" ht="30" hidden="false" customHeight="true" outlineLevel="0" collapsed="false">
      <c r="B24" s="8" t="s">
        <v>266</v>
      </c>
      <c r="C24" s="9" t="s">
        <v>267</v>
      </c>
    </row>
    <row r="25" customFormat="false" ht="30" hidden="false" customHeight="true" outlineLevel="0" collapsed="false">
      <c r="B25" s="8" t="s">
        <v>268</v>
      </c>
      <c r="C25" s="9" t="s">
        <v>269</v>
      </c>
    </row>
    <row r="26" customFormat="false" ht="30" hidden="false" customHeight="true" outlineLevel="0" collapsed="false">
      <c r="B26" s="58" t="s">
        <v>270</v>
      </c>
      <c r="C26" s="9" t="s">
        <v>271</v>
      </c>
    </row>
    <row r="27" customFormat="false" ht="30" hidden="false" customHeight="true" outlineLevel="0" collapsed="false">
      <c r="B27" s="58" t="s">
        <v>272</v>
      </c>
      <c r="C27" s="9" t="s">
        <v>273</v>
      </c>
    </row>
    <row r="28" customFormat="false" ht="30" hidden="false" customHeight="true" outlineLevel="0" collapsed="false">
      <c r="B28" s="58" t="s">
        <v>274</v>
      </c>
      <c r="C28" s="9" t="s">
        <v>275</v>
      </c>
    </row>
    <row r="29" customFormat="false" ht="30" hidden="false" customHeight="true" outlineLevel="0" collapsed="false">
      <c r="B29" s="58" t="s">
        <v>276</v>
      </c>
      <c r="C29" s="9" t="s">
        <v>277</v>
      </c>
    </row>
    <row r="30" customFormat="false" ht="30" hidden="false" customHeight="true" outlineLevel="0" collapsed="false">
      <c r="B30" s="58" t="s">
        <v>278</v>
      </c>
      <c r="C30" s="9" t="s">
        <v>279</v>
      </c>
    </row>
    <row r="31" customFormat="false" ht="30" hidden="false" customHeight="true" outlineLevel="0" collapsed="false">
      <c r="B31" s="58" t="s">
        <v>280</v>
      </c>
      <c r="C31" s="9" t="s">
        <v>281</v>
      </c>
    </row>
    <row r="32" customFormat="false" ht="30" hidden="false" customHeight="true" outlineLevel="0" collapsed="false">
      <c r="B32" s="8" t="s">
        <v>282</v>
      </c>
      <c r="C32" s="9" t="s">
        <v>283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2026-07-04T14:47:43Z</dcterms:created>
  <dc:creator>openpyxl</dc:creator>
  <dc:description/>
  <dc:language>en-US</dc:language>
  <cp:lastModifiedBy>edy</cp:lastModifiedBy>
  <dcterms:modified xsi:type="dcterms:W3CDTF">2026-07-14T03:50:41Z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